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E43\EXCELCNV\574f86a9-c7bc-4f84-9201-079c5e1b8d6d\"/>
    </mc:Choice>
  </mc:AlternateContent>
  <xr:revisionPtr revIDLastSave="0" documentId="8_{14FDD7F1-9DDD-4495-A6C5-BCDDA56338B0}" xr6:coauthVersionLast="47" xr6:coauthVersionMax="47" xr10:uidLastSave="{00000000-0000-0000-0000-000000000000}"/>
  <bookViews>
    <workbookView xWindow="-60" yWindow="-60" windowWidth="15480" windowHeight="11640" firstSheet="8" xr2:uid="{4A2CA2D3-A399-4F55-B014-9E4D68491634}"/>
  </bookViews>
  <sheets>
    <sheet name="Raw Sales Data" sheetId="1" r:id="rId1"/>
    <sheet name="Cleaned Sales Data" sheetId="5" r:id="rId2"/>
    <sheet name="Product Cost Lookup" sheetId="8" r:id="rId3"/>
    <sheet name="PIVOT - REGION" sheetId="14" r:id="rId4"/>
    <sheet name="PIVOT - SALES REP" sheetId="15" r:id="rId5"/>
    <sheet name="PIVOT - CATEGORY" sheetId="16" r:id="rId6"/>
    <sheet name="PIVOT - TOP 5 PRODUCTS" sheetId="18" r:id="rId7"/>
    <sheet name="PIVOT - MONTH" sheetId="19" r:id="rId8"/>
    <sheet name="Dashboard" sheetId="20" r:id="rId9"/>
    <sheet name="Data Cleaning notes" sheetId="6" r:id="rId10"/>
    <sheet name="Cleaned_Sales Table" sheetId="21" r:id="rId11"/>
  </sheets>
  <definedNames>
    <definedName name="ExternalData_1" localSheetId="2" hidden="1">'Product Cost Lookup'!$A$1:$D$16</definedName>
    <definedName name="ExternalData_1" localSheetId="10" hidden="1">'Cleaned_Sales Table'!$A$1:$W$341</definedName>
    <definedName name="Slicer_Cleaned_Region">#N/A</definedName>
    <definedName name="Slicer_Month">#N/A</definedName>
  </definedNames>
  <calcPr calcId="191028"/>
  <pivotCaches>
    <pivotCache cacheId="128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0" l="1"/>
  <c r="H20" i="14"/>
  <c r="H7" i="20"/>
  <c r="L11" i="20"/>
  <c r="H11" i="20"/>
  <c r="V2" i="5"/>
  <c r="U2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S4" i="5"/>
  <c r="S3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2" i="5"/>
  <c r="P109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O2" i="5"/>
  <c r="O12" i="5"/>
  <c r="R3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2" i="5"/>
  <c r="V62" i="5"/>
  <c r="V70" i="5"/>
  <c r="V106" i="5"/>
  <c r="V151" i="5"/>
  <c r="V155" i="5"/>
  <c r="V182" i="5"/>
  <c r="V198" i="5"/>
  <c r="V204" i="5"/>
  <c r="V226" i="5"/>
  <c r="V235" i="5"/>
  <c r="V261" i="5"/>
  <c r="V284" i="5"/>
  <c r="V288" i="5"/>
  <c r="U3" i="5"/>
  <c r="V3" i="5" s="1"/>
  <c r="U4" i="5"/>
  <c r="V4" i="5" s="1"/>
  <c r="U5" i="5"/>
  <c r="V5" i="5" s="1"/>
  <c r="U6" i="5"/>
  <c r="V6" i="5" s="1"/>
  <c r="U7" i="5"/>
  <c r="V7" i="5" s="1"/>
  <c r="U8" i="5"/>
  <c r="V8" i="5" s="1"/>
  <c r="U9" i="5"/>
  <c r="V9" i="5" s="1"/>
  <c r="U10" i="5"/>
  <c r="V10" i="5" s="1"/>
  <c r="U11" i="5"/>
  <c r="V11" i="5" s="1"/>
  <c r="U12" i="5"/>
  <c r="V12" i="5" s="1"/>
  <c r="U13" i="5"/>
  <c r="V13" i="5" s="1"/>
  <c r="U14" i="5"/>
  <c r="V14" i="5" s="1"/>
  <c r="U15" i="5"/>
  <c r="V15" i="5" s="1"/>
  <c r="U16" i="5"/>
  <c r="V16" i="5" s="1"/>
  <c r="U17" i="5"/>
  <c r="V17" i="5" s="1"/>
  <c r="U18" i="5"/>
  <c r="V18" i="5" s="1"/>
  <c r="U19" i="5"/>
  <c r="V19" i="5" s="1"/>
  <c r="U20" i="5"/>
  <c r="V20" i="5" s="1"/>
  <c r="U21" i="5"/>
  <c r="V21" i="5" s="1"/>
  <c r="U22" i="5"/>
  <c r="V22" i="5" s="1"/>
  <c r="U23" i="5"/>
  <c r="V23" i="5" s="1"/>
  <c r="U24" i="5"/>
  <c r="V24" i="5" s="1"/>
  <c r="U25" i="5"/>
  <c r="V25" i="5" s="1"/>
  <c r="U26" i="5"/>
  <c r="V26" i="5" s="1"/>
  <c r="U27" i="5"/>
  <c r="V27" i="5" s="1"/>
  <c r="U28" i="5"/>
  <c r="V28" i="5" s="1"/>
  <c r="U29" i="5"/>
  <c r="V29" i="5" s="1"/>
  <c r="U30" i="5"/>
  <c r="V30" i="5" s="1"/>
  <c r="U31" i="5"/>
  <c r="V31" i="5" s="1"/>
  <c r="U32" i="5"/>
  <c r="V32" i="5" s="1"/>
  <c r="U33" i="5"/>
  <c r="V33" i="5" s="1"/>
  <c r="U34" i="5"/>
  <c r="V34" i="5" s="1"/>
  <c r="U35" i="5"/>
  <c r="V35" i="5" s="1"/>
  <c r="U36" i="5"/>
  <c r="V36" i="5" s="1"/>
  <c r="U37" i="5"/>
  <c r="V37" i="5" s="1"/>
  <c r="U38" i="5"/>
  <c r="V38" i="5" s="1"/>
  <c r="U39" i="5"/>
  <c r="V39" i="5" s="1"/>
  <c r="U40" i="5"/>
  <c r="V40" i="5" s="1"/>
  <c r="U41" i="5"/>
  <c r="V41" i="5" s="1"/>
  <c r="U42" i="5"/>
  <c r="V42" i="5" s="1"/>
  <c r="U43" i="5"/>
  <c r="V43" i="5" s="1"/>
  <c r="U44" i="5"/>
  <c r="V44" i="5" s="1"/>
  <c r="U45" i="5"/>
  <c r="V45" i="5" s="1"/>
  <c r="U46" i="5"/>
  <c r="V46" i="5" s="1"/>
  <c r="U47" i="5"/>
  <c r="V47" i="5" s="1"/>
  <c r="U48" i="5"/>
  <c r="V48" i="5" s="1"/>
  <c r="U49" i="5"/>
  <c r="V49" i="5" s="1"/>
  <c r="U50" i="5"/>
  <c r="V50" i="5" s="1"/>
  <c r="U51" i="5"/>
  <c r="V51" i="5" s="1"/>
  <c r="U52" i="5"/>
  <c r="V52" i="5" s="1"/>
  <c r="U53" i="5"/>
  <c r="V53" i="5" s="1"/>
  <c r="U54" i="5"/>
  <c r="V54" i="5" s="1"/>
  <c r="U55" i="5"/>
  <c r="V55" i="5" s="1"/>
  <c r="U56" i="5"/>
  <c r="V56" i="5" s="1"/>
  <c r="U57" i="5"/>
  <c r="V57" i="5" s="1"/>
  <c r="U58" i="5"/>
  <c r="V58" i="5" s="1"/>
  <c r="U59" i="5"/>
  <c r="V59" i="5" s="1"/>
  <c r="U60" i="5"/>
  <c r="V60" i="5" s="1"/>
  <c r="U61" i="5"/>
  <c r="V61" i="5" s="1"/>
  <c r="U62" i="5"/>
  <c r="U63" i="5"/>
  <c r="V63" i="5" s="1"/>
  <c r="U64" i="5"/>
  <c r="V64" i="5" s="1"/>
  <c r="U65" i="5"/>
  <c r="V65" i="5" s="1"/>
  <c r="U66" i="5"/>
  <c r="V66" i="5" s="1"/>
  <c r="U67" i="5"/>
  <c r="V67" i="5" s="1"/>
  <c r="U68" i="5"/>
  <c r="V68" i="5" s="1"/>
  <c r="U69" i="5"/>
  <c r="V69" i="5" s="1"/>
  <c r="U70" i="5"/>
  <c r="U71" i="5"/>
  <c r="V71" i="5" s="1"/>
  <c r="U72" i="5"/>
  <c r="V72" i="5" s="1"/>
  <c r="U73" i="5"/>
  <c r="V73" i="5" s="1"/>
  <c r="U74" i="5"/>
  <c r="V74" i="5" s="1"/>
  <c r="U75" i="5"/>
  <c r="V75" i="5" s="1"/>
  <c r="U76" i="5"/>
  <c r="V76" i="5" s="1"/>
  <c r="U77" i="5"/>
  <c r="V77" i="5" s="1"/>
  <c r="U78" i="5"/>
  <c r="V78" i="5" s="1"/>
  <c r="U79" i="5"/>
  <c r="V79" i="5" s="1"/>
  <c r="U80" i="5"/>
  <c r="V80" i="5" s="1"/>
  <c r="U81" i="5"/>
  <c r="V81" i="5" s="1"/>
  <c r="U82" i="5"/>
  <c r="V82" i="5" s="1"/>
  <c r="U83" i="5"/>
  <c r="V83" i="5" s="1"/>
  <c r="U84" i="5"/>
  <c r="V84" i="5" s="1"/>
  <c r="U85" i="5"/>
  <c r="V85" i="5" s="1"/>
  <c r="U86" i="5"/>
  <c r="V86" i="5" s="1"/>
  <c r="U87" i="5"/>
  <c r="V87" i="5" s="1"/>
  <c r="U88" i="5"/>
  <c r="V88" i="5" s="1"/>
  <c r="U89" i="5"/>
  <c r="V89" i="5" s="1"/>
  <c r="U90" i="5"/>
  <c r="V90" i="5" s="1"/>
  <c r="U91" i="5"/>
  <c r="V91" i="5" s="1"/>
  <c r="U92" i="5"/>
  <c r="V92" i="5" s="1"/>
  <c r="U93" i="5"/>
  <c r="V93" i="5" s="1"/>
  <c r="U94" i="5"/>
  <c r="V94" i="5" s="1"/>
  <c r="U95" i="5"/>
  <c r="V95" i="5" s="1"/>
  <c r="U96" i="5"/>
  <c r="V96" i="5" s="1"/>
  <c r="U97" i="5"/>
  <c r="V97" i="5" s="1"/>
  <c r="U98" i="5"/>
  <c r="V98" i="5" s="1"/>
  <c r="U99" i="5"/>
  <c r="V99" i="5" s="1"/>
  <c r="U100" i="5"/>
  <c r="V100" i="5" s="1"/>
  <c r="U101" i="5"/>
  <c r="V101" i="5" s="1"/>
  <c r="U102" i="5"/>
  <c r="V102" i="5" s="1"/>
  <c r="U103" i="5"/>
  <c r="V103" i="5" s="1"/>
  <c r="U104" i="5"/>
  <c r="V104" i="5" s="1"/>
  <c r="U105" i="5"/>
  <c r="V105" i="5" s="1"/>
  <c r="U106" i="5"/>
  <c r="U107" i="5"/>
  <c r="V107" i="5" s="1"/>
  <c r="U108" i="5"/>
  <c r="V108" i="5" s="1"/>
  <c r="U109" i="5"/>
  <c r="V109" i="5" s="1"/>
  <c r="U110" i="5"/>
  <c r="V110" i="5" s="1"/>
  <c r="U111" i="5"/>
  <c r="V111" i="5" s="1"/>
  <c r="U112" i="5"/>
  <c r="V112" i="5" s="1"/>
  <c r="U113" i="5"/>
  <c r="V113" i="5" s="1"/>
  <c r="U114" i="5"/>
  <c r="V114" i="5" s="1"/>
  <c r="U115" i="5"/>
  <c r="V115" i="5" s="1"/>
  <c r="U116" i="5"/>
  <c r="V116" i="5" s="1"/>
  <c r="U117" i="5"/>
  <c r="V117" i="5" s="1"/>
  <c r="U118" i="5"/>
  <c r="V118" i="5" s="1"/>
  <c r="U119" i="5"/>
  <c r="V119" i="5" s="1"/>
  <c r="U120" i="5"/>
  <c r="V120" i="5" s="1"/>
  <c r="U121" i="5"/>
  <c r="V121" i="5" s="1"/>
  <c r="U122" i="5"/>
  <c r="V122" i="5" s="1"/>
  <c r="U123" i="5"/>
  <c r="V123" i="5" s="1"/>
  <c r="U124" i="5"/>
  <c r="V124" i="5" s="1"/>
  <c r="U125" i="5"/>
  <c r="V125" i="5" s="1"/>
  <c r="U126" i="5"/>
  <c r="V126" i="5" s="1"/>
  <c r="U127" i="5"/>
  <c r="V127" i="5" s="1"/>
  <c r="U128" i="5"/>
  <c r="V128" i="5" s="1"/>
  <c r="U129" i="5"/>
  <c r="V129" i="5" s="1"/>
  <c r="U130" i="5"/>
  <c r="V130" i="5" s="1"/>
  <c r="U131" i="5"/>
  <c r="V131" i="5" s="1"/>
  <c r="U132" i="5"/>
  <c r="V132" i="5" s="1"/>
  <c r="U133" i="5"/>
  <c r="V133" i="5" s="1"/>
  <c r="U134" i="5"/>
  <c r="V134" i="5" s="1"/>
  <c r="U135" i="5"/>
  <c r="V135" i="5" s="1"/>
  <c r="U136" i="5"/>
  <c r="V136" i="5" s="1"/>
  <c r="U137" i="5"/>
  <c r="V137" i="5" s="1"/>
  <c r="U138" i="5"/>
  <c r="V138" i="5" s="1"/>
  <c r="U139" i="5"/>
  <c r="V139" i="5" s="1"/>
  <c r="U140" i="5"/>
  <c r="V140" i="5" s="1"/>
  <c r="U141" i="5"/>
  <c r="V141" i="5" s="1"/>
  <c r="U142" i="5"/>
  <c r="V142" i="5" s="1"/>
  <c r="U143" i="5"/>
  <c r="V143" i="5" s="1"/>
  <c r="U144" i="5"/>
  <c r="V144" i="5" s="1"/>
  <c r="U145" i="5"/>
  <c r="V145" i="5" s="1"/>
  <c r="U146" i="5"/>
  <c r="V146" i="5" s="1"/>
  <c r="U147" i="5"/>
  <c r="V147" i="5" s="1"/>
  <c r="U148" i="5"/>
  <c r="V148" i="5" s="1"/>
  <c r="U149" i="5"/>
  <c r="V149" i="5" s="1"/>
  <c r="U150" i="5"/>
  <c r="V150" i="5" s="1"/>
  <c r="U151" i="5"/>
  <c r="U152" i="5"/>
  <c r="V152" i="5" s="1"/>
  <c r="U153" i="5"/>
  <c r="V153" i="5" s="1"/>
  <c r="U154" i="5"/>
  <c r="V154" i="5" s="1"/>
  <c r="U155" i="5"/>
  <c r="U156" i="5"/>
  <c r="V156" i="5" s="1"/>
  <c r="U157" i="5"/>
  <c r="V157" i="5" s="1"/>
  <c r="U158" i="5"/>
  <c r="V158" i="5" s="1"/>
  <c r="U159" i="5"/>
  <c r="V159" i="5" s="1"/>
  <c r="U160" i="5"/>
  <c r="V160" i="5" s="1"/>
  <c r="U161" i="5"/>
  <c r="V161" i="5" s="1"/>
  <c r="U162" i="5"/>
  <c r="V162" i="5" s="1"/>
  <c r="U163" i="5"/>
  <c r="V163" i="5" s="1"/>
  <c r="U164" i="5"/>
  <c r="V164" i="5" s="1"/>
  <c r="U165" i="5"/>
  <c r="V165" i="5" s="1"/>
  <c r="U166" i="5"/>
  <c r="V166" i="5" s="1"/>
  <c r="U167" i="5"/>
  <c r="V167" i="5" s="1"/>
  <c r="U168" i="5"/>
  <c r="V168" i="5" s="1"/>
  <c r="U169" i="5"/>
  <c r="V169" i="5" s="1"/>
  <c r="U170" i="5"/>
  <c r="V170" i="5" s="1"/>
  <c r="U171" i="5"/>
  <c r="V171" i="5" s="1"/>
  <c r="U172" i="5"/>
  <c r="V172" i="5" s="1"/>
  <c r="U173" i="5"/>
  <c r="V173" i="5" s="1"/>
  <c r="U174" i="5"/>
  <c r="V174" i="5" s="1"/>
  <c r="U175" i="5"/>
  <c r="V175" i="5" s="1"/>
  <c r="U176" i="5"/>
  <c r="V176" i="5" s="1"/>
  <c r="U177" i="5"/>
  <c r="V177" i="5" s="1"/>
  <c r="U178" i="5"/>
  <c r="V178" i="5" s="1"/>
  <c r="U179" i="5"/>
  <c r="V179" i="5" s="1"/>
  <c r="U180" i="5"/>
  <c r="V180" i="5" s="1"/>
  <c r="U181" i="5"/>
  <c r="V181" i="5" s="1"/>
  <c r="U182" i="5"/>
  <c r="U183" i="5"/>
  <c r="V183" i="5" s="1"/>
  <c r="U184" i="5"/>
  <c r="V184" i="5" s="1"/>
  <c r="U185" i="5"/>
  <c r="V185" i="5" s="1"/>
  <c r="U186" i="5"/>
  <c r="V186" i="5" s="1"/>
  <c r="U187" i="5"/>
  <c r="V187" i="5" s="1"/>
  <c r="U188" i="5"/>
  <c r="V188" i="5" s="1"/>
  <c r="U189" i="5"/>
  <c r="V189" i="5" s="1"/>
  <c r="U190" i="5"/>
  <c r="V190" i="5" s="1"/>
  <c r="U191" i="5"/>
  <c r="V191" i="5" s="1"/>
  <c r="U192" i="5"/>
  <c r="V192" i="5" s="1"/>
  <c r="U193" i="5"/>
  <c r="V193" i="5" s="1"/>
  <c r="U194" i="5"/>
  <c r="V194" i="5" s="1"/>
  <c r="U195" i="5"/>
  <c r="V195" i="5" s="1"/>
  <c r="U196" i="5"/>
  <c r="V196" i="5" s="1"/>
  <c r="U197" i="5"/>
  <c r="V197" i="5" s="1"/>
  <c r="U198" i="5"/>
  <c r="U199" i="5"/>
  <c r="V199" i="5" s="1"/>
  <c r="U200" i="5"/>
  <c r="V200" i="5" s="1"/>
  <c r="U201" i="5"/>
  <c r="V201" i="5" s="1"/>
  <c r="U202" i="5"/>
  <c r="V202" i="5" s="1"/>
  <c r="U203" i="5"/>
  <c r="V203" i="5" s="1"/>
  <c r="U204" i="5"/>
  <c r="U205" i="5"/>
  <c r="V205" i="5" s="1"/>
  <c r="U206" i="5"/>
  <c r="V206" i="5" s="1"/>
  <c r="U207" i="5"/>
  <c r="V207" i="5" s="1"/>
  <c r="U208" i="5"/>
  <c r="V208" i="5" s="1"/>
  <c r="U209" i="5"/>
  <c r="V209" i="5" s="1"/>
  <c r="U210" i="5"/>
  <c r="V210" i="5" s="1"/>
  <c r="U211" i="5"/>
  <c r="V211" i="5" s="1"/>
  <c r="U212" i="5"/>
  <c r="V212" i="5" s="1"/>
  <c r="U213" i="5"/>
  <c r="V213" i="5" s="1"/>
  <c r="U214" i="5"/>
  <c r="V214" i="5" s="1"/>
  <c r="U215" i="5"/>
  <c r="V215" i="5" s="1"/>
  <c r="U216" i="5"/>
  <c r="V216" i="5" s="1"/>
  <c r="U217" i="5"/>
  <c r="V217" i="5" s="1"/>
  <c r="U218" i="5"/>
  <c r="V218" i="5" s="1"/>
  <c r="U219" i="5"/>
  <c r="V219" i="5" s="1"/>
  <c r="U220" i="5"/>
  <c r="V220" i="5" s="1"/>
  <c r="U221" i="5"/>
  <c r="V221" i="5" s="1"/>
  <c r="U222" i="5"/>
  <c r="V222" i="5" s="1"/>
  <c r="U223" i="5"/>
  <c r="V223" i="5" s="1"/>
  <c r="U224" i="5"/>
  <c r="V224" i="5" s="1"/>
  <c r="U225" i="5"/>
  <c r="V225" i="5" s="1"/>
  <c r="U226" i="5"/>
  <c r="U227" i="5"/>
  <c r="V227" i="5" s="1"/>
  <c r="U228" i="5"/>
  <c r="V228" i="5" s="1"/>
  <c r="U229" i="5"/>
  <c r="V229" i="5" s="1"/>
  <c r="U230" i="5"/>
  <c r="V230" i="5" s="1"/>
  <c r="U231" i="5"/>
  <c r="V231" i="5" s="1"/>
  <c r="U232" i="5"/>
  <c r="V232" i="5" s="1"/>
  <c r="U233" i="5"/>
  <c r="V233" i="5" s="1"/>
  <c r="U234" i="5"/>
  <c r="V234" i="5" s="1"/>
  <c r="U235" i="5"/>
  <c r="U236" i="5"/>
  <c r="V236" i="5" s="1"/>
  <c r="U237" i="5"/>
  <c r="V237" i="5" s="1"/>
  <c r="U238" i="5"/>
  <c r="V238" i="5" s="1"/>
  <c r="U239" i="5"/>
  <c r="V239" i="5" s="1"/>
  <c r="U240" i="5"/>
  <c r="V240" i="5" s="1"/>
  <c r="U241" i="5"/>
  <c r="V241" i="5" s="1"/>
  <c r="U242" i="5"/>
  <c r="V242" i="5" s="1"/>
  <c r="U243" i="5"/>
  <c r="V243" i="5" s="1"/>
  <c r="U244" i="5"/>
  <c r="V244" i="5" s="1"/>
  <c r="U245" i="5"/>
  <c r="V245" i="5" s="1"/>
  <c r="U246" i="5"/>
  <c r="V246" i="5" s="1"/>
  <c r="U247" i="5"/>
  <c r="V247" i="5" s="1"/>
  <c r="U248" i="5"/>
  <c r="V248" i="5" s="1"/>
  <c r="U249" i="5"/>
  <c r="V249" i="5" s="1"/>
  <c r="U250" i="5"/>
  <c r="V250" i="5" s="1"/>
  <c r="U251" i="5"/>
  <c r="V251" i="5" s="1"/>
  <c r="U252" i="5"/>
  <c r="V252" i="5" s="1"/>
  <c r="U253" i="5"/>
  <c r="V253" i="5" s="1"/>
  <c r="U254" i="5"/>
  <c r="V254" i="5" s="1"/>
  <c r="U255" i="5"/>
  <c r="V255" i="5" s="1"/>
  <c r="U256" i="5"/>
  <c r="V256" i="5" s="1"/>
  <c r="U257" i="5"/>
  <c r="V257" i="5" s="1"/>
  <c r="U258" i="5"/>
  <c r="V258" i="5" s="1"/>
  <c r="U259" i="5"/>
  <c r="V259" i="5" s="1"/>
  <c r="U260" i="5"/>
  <c r="V260" i="5" s="1"/>
  <c r="U261" i="5"/>
  <c r="U262" i="5"/>
  <c r="V262" i="5" s="1"/>
  <c r="U263" i="5"/>
  <c r="V263" i="5" s="1"/>
  <c r="U264" i="5"/>
  <c r="V264" i="5" s="1"/>
  <c r="U265" i="5"/>
  <c r="V265" i="5" s="1"/>
  <c r="U266" i="5"/>
  <c r="V266" i="5" s="1"/>
  <c r="U267" i="5"/>
  <c r="V267" i="5" s="1"/>
  <c r="U268" i="5"/>
  <c r="V268" i="5" s="1"/>
  <c r="U269" i="5"/>
  <c r="V269" i="5" s="1"/>
  <c r="U270" i="5"/>
  <c r="V270" i="5" s="1"/>
  <c r="U271" i="5"/>
  <c r="V271" i="5" s="1"/>
  <c r="U272" i="5"/>
  <c r="V272" i="5" s="1"/>
  <c r="U273" i="5"/>
  <c r="V273" i="5" s="1"/>
  <c r="U274" i="5"/>
  <c r="V274" i="5" s="1"/>
  <c r="U275" i="5"/>
  <c r="V275" i="5" s="1"/>
  <c r="U276" i="5"/>
  <c r="V276" i="5" s="1"/>
  <c r="U277" i="5"/>
  <c r="V277" i="5" s="1"/>
  <c r="U278" i="5"/>
  <c r="V278" i="5" s="1"/>
  <c r="U279" i="5"/>
  <c r="V279" i="5" s="1"/>
  <c r="U280" i="5"/>
  <c r="V280" i="5" s="1"/>
  <c r="U281" i="5"/>
  <c r="V281" i="5" s="1"/>
  <c r="U282" i="5"/>
  <c r="V282" i="5" s="1"/>
  <c r="U283" i="5"/>
  <c r="V283" i="5" s="1"/>
  <c r="U284" i="5"/>
  <c r="U285" i="5"/>
  <c r="V285" i="5" s="1"/>
  <c r="U286" i="5"/>
  <c r="V286" i="5" s="1"/>
  <c r="U287" i="5"/>
  <c r="V287" i="5" s="1"/>
  <c r="U288" i="5"/>
  <c r="U289" i="5"/>
  <c r="V289" i="5" s="1"/>
  <c r="U290" i="5"/>
  <c r="V290" i="5" s="1"/>
  <c r="U291" i="5"/>
  <c r="V291" i="5" s="1"/>
  <c r="U292" i="5"/>
  <c r="V292" i="5" s="1"/>
  <c r="U293" i="5"/>
  <c r="V293" i="5" s="1"/>
  <c r="U294" i="5"/>
  <c r="V294" i="5" s="1"/>
  <c r="U295" i="5"/>
  <c r="V295" i="5" s="1"/>
  <c r="U296" i="5"/>
  <c r="V296" i="5" s="1"/>
  <c r="U297" i="5"/>
  <c r="V297" i="5" s="1"/>
  <c r="U298" i="5"/>
  <c r="V298" i="5" s="1"/>
  <c r="U299" i="5"/>
  <c r="V299" i="5" s="1"/>
  <c r="U300" i="5"/>
  <c r="V300" i="5" s="1"/>
  <c r="U301" i="5"/>
  <c r="V301" i="5" s="1"/>
  <c r="U302" i="5"/>
  <c r="V302" i="5" s="1"/>
  <c r="U303" i="5"/>
  <c r="V303" i="5" s="1"/>
  <c r="U304" i="5"/>
  <c r="V304" i="5" s="1"/>
  <c r="U305" i="5"/>
  <c r="V305" i="5" s="1"/>
  <c r="U306" i="5"/>
  <c r="V306" i="5" s="1"/>
  <c r="U307" i="5"/>
  <c r="V307" i="5" s="1"/>
  <c r="U308" i="5"/>
  <c r="V308" i="5" s="1"/>
  <c r="U309" i="5"/>
  <c r="V309" i="5" s="1"/>
  <c r="U310" i="5"/>
  <c r="V310" i="5" s="1"/>
  <c r="U311" i="5"/>
  <c r="V311" i="5" s="1"/>
  <c r="U312" i="5"/>
  <c r="V312" i="5" s="1"/>
  <c r="U313" i="5"/>
  <c r="V313" i="5" s="1"/>
  <c r="U314" i="5"/>
  <c r="V314" i="5" s="1"/>
  <c r="U315" i="5"/>
  <c r="V315" i="5" s="1"/>
  <c r="U316" i="5"/>
  <c r="V316" i="5" s="1"/>
  <c r="U317" i="5"/>
  <c r="V317" i="5" s="1"/>
  <c r="U318" i="5"/>
  <c r="V318" i="5" s="1"/>
  <c r="U319" i="5"/>
  <c r="V319" i="5" s="1"/>
  <c r="U320" i="5"/>
  <c r="V320" i="5" s="1"/>
  <c r="U321" i="5"/>
  <c r="V321" i="5" s="1"/>
  <c r="U322" i="5"/>
  <c r="V322" i="5" s="1"/>
  <c r="U323" i="5"/>
  <c r="V323" i="5" s="1"/>
  <c r="U324" i="5"/>
  <c r="V324" i="5" s="1"/>
  <c r="U325" i="5"/>
  <c r="V325" i="5" s="1"/>
  <c r="U326" i="5"/>
  <c r="V326" i="5" s="1"/>
  <c r="U327" i="5"/>
  <c r="V327" i="5" s="1"/>
  <c r="U328" i="5"/>
  <c r="V328" i="5" s="1"/>
  <c r="U329" i="5"/>
  <c r="V329" i="5" s="1"/>
  <c r="U330" i="5"/>
  <c r="V330" i="5" s="1"/>
  <c r="U331" i="5"/>
  <c r="V331" i="5" s="1"/>
  <c r="U332" i="5"/>
  <c r="V332" i="5" s="1"/>
  <c r="U333" i="5"/>
  <c r="V333" i="5" s="1"/>
  <c r="U334" i="5"/>
  <c r="V334" i="5" s="1"/>
  <c r="U335" i="5"/>
  <c r="V335" i="5" s="1"/>
  <c r="U336" i="5"/>
  <c r="V336" i="5" s="1"/>
  <c r="U337" i="5"/>
  <c r="V337" i="5" s="1"/>
  <c r="U338" i="5"/>
  <c r="V338" i="5" s="1"/>
  <c r="U339" i="5"/>
  <c r="V339" i="5" s="1"/>
  <c r="U340" i="5"/>
  <c r="V340" i="5" s="1"/>
  <c r="U341" i="5"/>
  <c r="V341" i="5" s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2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2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2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O341" i="5" l="1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1" i="5"/>
  <c r="O10" i="5"/>
  <c r="O9" i="5"/>
  <c r="O8" i="5"/>
  <c r="O7" i="5"/>
  <c r="O6" i="5"/>
  <c r="O5" i="5"/>
  <c r="O4" i="5"/>
  <c r="O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15960C-AD02-4EF0-915D-518CF9375B23}" keepAlive="1" name="Query - Cleaned_Sales" description="Connection to the 'Cleaned_Sales' query in the workbook." type="5" refreshedVersion="8" background="1">
    <dbPr connection="Provider=Microsoft.Mashup.OleDb.1;Data Source=$Workbook$;Location=Cleaned_Sales;Extended Properties=&quot;&quot;" command="SELECT * FROM [Cleaned_Sales]"/>
  </connection>
  <connection id="2" xr16:uid="{6C1D1008-4E1E-4D18-A90C-68D698217372}" keepAlive="1" name="Query - Copy of Highland_Distributors_Q1_Sales_RAW xlsx - Product Cost Lookup" description="Connection to the 'Copy of Highland_Distributors_Q1_Sales_RAW xlsx - Product Cost Lookup' query in the workbook." type="5" refreshedVersion="8" background="1">
    <dbPr connection="Provider=Microsoft.Mashup.OleDb.1;Data Source=$Workbook$;Location=Copy of Highland_Distributors_Q1_Sales_RAW xlsx - Product Cost Lookup;Extended Properties=&quot;&quot;" command="SELECT * FROM [Copy of Highland_Distributors_Q1_Sales_RAW xlsx - Product Cost Lookup]"/>
  </connection>
  <connection id="3" xr16:uid="{3747D780-5DA6-44C2-BCDB-94BE308299A9}" keepAlive="1" name="Query - Sales_Cleaned" description="Connection to the 'Sales_Cleaned' query in the workbook." type="5" refreshedVersion="0" background="1">
    <dbPr connection="Provider=Microsoft.Mashup.OleDb.1;Data Source=$Workbook$;Location=Sales_Cleaned;Extended Properties=&quot;&quot;" command="SELECT * FROM [Sales_Cleaned]"/>
  </connection>
  <connection id="4" xr16:uid="{C42FEAF4-C5F5-459B-A47E-51519FEF980F}" keepAlive="1" name="Query - Table1" description="Connection to the 'Table1' query in the workbook." type="5" refreshedVersion="8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<sst xmlns="http://schemas.openxmlformats.org/spreadsheetml/2006/main" count="6175" uniqueCount="259">
  <si>
    <t>Order ID</t>
  </si>
  <si>
    <t>Order Date</t>
  </si>
  <si>
    <t>Region</t>
  </si>
  <si>
    <t>Sales Rep</t>
  </si>
  <si>
    <t>Product ID</t>
  </si>
  <si>
    <t>Product Name</t>
  </si>
  <si>
    <t>Quantity</t>
  </si>
  <si>
    <t>Unit Price (KES)</t>
  </si>
  <si>
    <t>mombasa</t>
  </si>
  <si>
    <t>Peter Otieno</t>
  </si>
  <si>
    <t>P013</t>
  </si>
  <si>
    <t>Kitchen Knife Set</t>
  </si>
  <si>
    <t>2024.03.13</t>
  </si>
  <si>
    <t>nakuru</t>
  </si>
  <si>
    <t>Faith Wanjiru</t>
  </si>
  <si>
    <t>Mombasa</t>
  </si>
  <si>
    <t>Grace Achieng</t>
  </si>
  <si>
    <t>P001</t>
  </si>
  <si>
    <t>20L Jerrycan - Blue</t>
  </si>
  <si>
    <t>Eldoret</t>
  </si>
  <si>
    <t>grace achieng</t>
  </si>
  <si>
    <t>P015</t>
  </si>
  <si>
    <t>Water Dispenser Stand</t>
  </si>
  <si>
    <t>KISUMU</t>
  </si>
  <si>
    <t>Mercy Njeri</t>
  </si>
  <si>
    <t>P006</t>
  </si>
  <si>
    <t>Plastic Storage Basket L</t>
  </si>
  <si>
    <t>aisha hassan</t>
  </si>
  <si>
    <t>15/01/2024</t>
  </si>
  <si>
    <t xml:space="preserve">Thika </t>
  </si>
  <si>
    <t>P012</t>
  </si>
  <si>
    <t>Garden Hose 20m</t>
  </si>
  <si>
    <t>2024.02.14</t>
  </si>
  <si>
    <t>P011</t>
  </si>
  <si>
    <t>PADLOCK SET (3PC)</t>
  </si>
  <si>
    <t>Kisumu</t>
  </si>
  <si>
    <t>PETER OTIENO</t>
  </si>
  <si>
    <t>MOMBASA</t>
  </si>
  <si>
    <t>P008</t>
  </si>
  <si>
    <t>USB Wall Charger UC-5</t>
  </si>
  <si>
    <t>Thika</t>
  </si>
  <si>
    <t>Nakuru</t>
  </si>
  <si>
    <t>faith wanjiru</t>
  </si>
  <si>
    <t>FAITH WANJIRU</t>
  </si>
  <si>
    <t xml:space="preserve">20L Jerrycan - Blue </t>
  </si>
  <si>
    <t>thika</t>
  </si>
  <si>
    <t>Samuel Kiptoo</t>
  </si>
  <si>
    <t xml:space="preserve"> Mombasa</t>
  </si>
  <si>
    <t>Brian Mutua</t>
  </si>
  <si>
    <t xml:space="preserve">Brian Mutua  </t>
  </si>
  <si>
    <t>P002</t>
  </si>
  <si>
    <t>Solar Lantern SL200</t>
  </si>
  <si>
    <t xml:space="preserve">  Faith Wanjiru</t>
  </si>
  <si>
    <t>P003</t>
  </si>
  <si>
    <t>RECHARGEABLE TORCH RT-10</t>
  </si>
  <si>
    <t>P014</t>
  </si>
  <si>
    <t>LED Bulb 9W (Pack of 4)</t>
  </si>
  <si>
    <t>21/01/2024</t>
  </si>
  <si>
    <t xml:space="preserve"> Nairobi</t>
  </si>
  <si>
    <t xml:space="preserve"> Eldoret</t>
  </si>
  <si>
    <t>Padlock Set (3pc)</t>
  </si>
  <si>
    <t>2024.03.27</t>
  </si>
  <si>
    <t>John Mwangi</t>
  </si>
  <si>
    <t>NAKURU</t>
  </si>
  <si>
    <t>MERCY NJERI</t>
  </si>
  <si>
    <t>P007</t>
  </si>
  <si>
    <t>MOSQUITO NET - FAMILY SIZE</t>
  </si>
  <si>
    <t>18/02/2024</t>
  </si>
  <si>
    <t xml:space="preserve">Peter Otieno  </t>
  </si>
  <si>
    <t>Solar Lantern SL-200</t>
  </si>
  <si>
    <t>2024.03.24</t>
  </si>
  <si>
    <t xml:space="preserve">solar lantern sl-200 </t>
  </si>
  <si>
    <t>Rechargeable Torch RT-10</t>
  </si>
  <si>
    <t>Mosquito Net - Family Size</t>
  </si>
  <si>
    <t>Nairobi</t>
  </si>
  <si>
    <t xml:space="preserve">plastic storage basket l </t>
  </si>
  <si>
    <t>2024.01.19</t>
  </si>
  <si>
    <t>P004</t>
  </si>
  <si>
    <t>Cooking Gas Burner CB-2</t>
  </si>
  <si>
    <t>ELDORET</t>
  </si>
  <si>
    <t xml:space="preserve">  Aisha Hassan</t>
  </si>
  <si>
    <t>Aisha Hassan</t>
  </si>
  <si>
    <t>2024.01.12</t>
  </si>
  <si>
    <t>2024.02.10</t>
  </si>
  <si>
    <t>AISHA HASSAN</t>
  </si>
  <si>
    <t xml:space="preserve">  Mercy Njeri</t>
  </si>
  <si>
    <t>samuel kiptoo</t>
  </si>
  <si>
    <t>18/01/2024</t>
  </si>
  <si>
    <t xml:space="preserve">Mercy Njeri  </t>
  </si>
  <si>
    <t>SOLAR LANTERN SL-200</t>
  </si>
  <si>
    <t>P010</t>
  </si>
  <si>
    <t>Wheelbarrow Heavy Duty</t>
  </si>
  <si>
    <t>kisumu</t>
  </si>
  <si>
    <t>P005</t>
  </si>
  <si>
    <t>Non-Stick Frying Pan 28cm</t>
  </si>
  <si>
    <t xml:space="preserve"> Kisumu</t>
  </si>
  <si>
    <t>Wheelbarrow - Heavy Duty</t>
  </si>
  <si>
    <t>Plastic Storage Basket (L)</t>
  </si>
  <si>
    <t>nairobi</t>
  </si>
  <si>
    <t xml:space="preserve">Water Dispenser Stand </t>
  </si>
  <si>
    <t>eldoret</t>
  </si>
  <si>
    <t xml:space="preserve"> Thika</t>
  </si>
  <si>
    <t xml:space="preserve">Faith Wanjiru  </t>
  </si>
  <si>
    <t>WATER DISPENSER STAND</t>
  </si>
  <si>
    <t xml:space="preserve">  Peter Otieno</t>
  </si>
  <si>
    <t xml:space="preserve">  Brian Mutua</t>
  </si>
  <si>
    <t xml:space="preserve">Mombasa </t>
  </si>
  <si>
    <t>14/01/2024</t>
  </si>
  <si>
    <t>19/01/2024</t>
  </si>
  <si>
    <t>SAMUEL KIPTOO</t>
  </si>
  <si>
    <t>JOHN MWANGI</t>
  </si>
  <si>
    <t>P009</t>
  </si>
  <si>
    <t>Thermos Flask 1L</t>
  </si>
  <si>
    <t>14/02/2024</t>
  </si>
  <si>
    <t xml:space="preserve">  Samuel Kiptoo</t>
  </si>
  <si>
    <t xml:space="preserve">Aisha Hassan  </t>
  </si>
  <si>
    <t xml:space="preserve">Padlock Set (3pc) </t>
  </si>
  <si>
    <t>20/01/2024</t>
  </si>
  <si>
    <t>USB WALL CHARGER UC-5</t>
  </si>
  <si>
    <t xml:space="preserve">USB Wall Charger UC-5 </t>
  </si>
  <si>
    <t>2024.02.22</t>
  </si>
  <si>
    <t>16/02/2024</t>
  </si>
  <si>
    <t>peter otieno</t>
  </si>
  <si>
    <t>NAIROBI</t>
  </si>
  <si>
    <t xml:space="preserve">Mosquito Net - Family Size </t>
  </si>
  <si>
    <t xml:space="preserve">Non-Stick Frying Pan 28cm </t>
  </si>
  <si>
    <t>2024.03.04</t>
  </si>
  <si>
    <t>GARDEN HOSE 20M</t>
  </si>
  <si>
    <t>2024.02.07</t>
  </si>
  <si>
    <t>THERMOS FLASK 1L</t>
  </si>
  <si>
    <t>13/02/2024</t>
  </si>
  <si>
    <t>17/03/2024</t>
  </si>
  <si>
    <t>25/01/2024</t>
  </si>
  <si>
    <t xml:space="preserve">  John Mwangi</t>
  </si>
  <si>
    <t xml:space="preserve">  Grace Achieng</t>
  </si>
  <si>
    <t>BRIAN MUTUA</t>
  </si>
  <si>
    <t xml:space="preserve">Samuel Kiptoo  </t>
  </si>
  <si>
    <t>21/03/2024</t>
  </si>
  <si>
    <t>2024.02.02</t>
  </si>
  <si>
    <t xml:space="preserve">Grace Achieng  </t>
  </si>
  <si>
    <t xml:space="preserve">Garden Hose 20m </t>
  </si>
  <si>
    <t>NON-STICK FRYING PAN 28CM</t>
  </si>
  <si>
    <t>mercy njeri</t>
  </si>
  <si>
    <t>22/02/2024</t>
  </si>
  <si>
    <t>wheelbarrow - heavy duty</t>
  </si>
  <si>
    <t xml:space="preserve">Eldoret </t>
  </si>
  <si>
    <t xml:space="preserve">John Mwangi  </t>
  </si>
  <si>
    <t xml:space="preserve">Kitchen Knife Set </t>
  </si>
  <si>
    <t>2024.02.11</t>
  </si>
  <si>
    <t>john mwangi</t>
  </si>
  <si>
    <t>25/03/2024</t>
  </si>
  <si>
    <t>2024.03.31</t>
  </si>
  <si>
    <t xml:space="preserve">Nakuru </t>
  </si>
  <si>
    <t>GRACE ACHIENG</t>
  </si>
  <si>
    <t xml:space="preserve">Cooking Gas Burner CB-2 </t>
  </si>
  <si>
    <t>2024.01.04</t>
  </si>
  <si>
    <t>THIKA</t>
  </si>
  <si>
    <t>28/01/2024</t>
  </si>
  <si>
    <t>2024.03.06</t>
  </si>
  <si>
    <t>20/03/2024</t>
  </si>
  <si>
    <t>LED BULB 9W (PACK OF 4)</t>
  </si>
  <si>
    <t>2024.01.18</t>
  </si>
  <si>
    <t xml:space="preserve">Kisumu </t>
  </si>
  <si>
    <t xml:space="preserve">LED Bulb 9W (Pack of 4) </t>
  </si>
  <si>
    <t>23/03/2024</t>
  </si>
  <si>
    <t>2024.01.23</t>
  </si>
  <si>
    <t>27/01/2024</t>
  </si>
  <si>
    <t>brian mutua</t>
  </si>
  <si>
    <t>2024.03.29</t>
  </si>
  <si>
    <t>19/03/2024</t>
  </si>
  <si>
    <t>29/01/2024</t>
  </si>
  <si>
    <t>27/03/2024</t>
  </si>
  <si>
    <t>COOKING GAS BURNER CB-2</t>
  </si>
  <si>
    <t>2024.02.08</t>
  </si>
  <si>
    <t>26/03/2024</t>
  </si>
  <si>
    <t xml:space="preserve">Nairobi </t>
  </si>
  <si>
    <t>2024.03.18</t>
  </si>
  <si>
    <t xml:space="preserve">Rechargeable Torch RT-10 </t>
  </si>
  <si>
    <t>31/01/2024</t>
  </si>
  <si>
    <t>KITCHEN KNIFE SET</t>
  </si>
  <si>
    <t>17/02/2024</t>
  </si>
  <si>
    <t>24/03/2024</t>
  </si>
  <si>
    <t>23/01/2024</t>
  </si>
  <si>
    <t>Cleaned Order Date</t>
  </si>
  <si>
    <t>Cleaned Region</t>
  </si>
  <si>
    <t>Cleaned Sales Rep</t>
  </si>
  <si>
    <t>Cleaned Product Name</t>
  </si>
  <si>
    <t>New Quantity</t>
  </si>
  <si>
    <t>Cleaned Unit Price (KES)</t>
  </si>
  <si>
    <t>Flags</t>
  </si>
  <si>
    <t>Cleaned Quantity</t>
  </si>
  <si>
    <t>Unit Cost</t>
  </si>
  <si>
    <t>Category</t>
  </si>
  <si>
    <t>Revenue</t>
  </si>
  <si>
    <t>Cost</t>
  </si>
  <si>
    <t>Profit</t>
  </si>
  <si>
    <t>Margin %</t>
  </si>
  <si>
    <t>Month</t>
  </si>
  <si>
    <t>Unit Cost (KES)</t>
  </si>
  <si>
    <t>Household</t>
  </si>
  <si>
    <t>Electronics</t>
  </si>
  <si>
    <t>Kitchenware</t>
  </si>
  <si>
    <t>Hardware</t>
  </si>
  <si>
    <t>Sum of Revenue</t>
  </si>
  <si>
    <t>Sum of Profit</t>
  </si>
  <si>
    <t>Unknown</t>
  </si>
  <si>
    <t>Grand Total</t>
  </si>
  <si>
    <t>Cooking Gas Burner Cb-2</t>
  </si>
  <si>
    <t>Garden Hose 20M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</si>
  <si>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</si>
  <si>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</si>
  <si>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</si>
  <si>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</si>
  <si>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</si>
  <si>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</si>
  <si>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</si>
  <si>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</si>
  <si>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</si>
  <si>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</si>
  <si>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</si>
  <si>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</si>
  <si>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Highland Distributors Sales Dashboard</t>
  </si>
  <si>
    <t>Total Revenue</t>
  </si>
  <si>
    <t>Total Profit</t>
  </si>
  <si>
    <t>Avg Margin %</t>
  </si>
  <si>
    <t>Total Orders</t>
  </si>
  <si>
    <t>Monthly Revenue Chart</t>
  </si>
  <si>
    <t>Revenue by Region</t>
  </si>
  <si>
    <t>Top 5 Products by Revenue</t>
  </si>
  <si>
    <t>Slicers</t>
  </si>
  <si>
    <t>Data Cleaning Notes</t>
  </si>
  <si>
    <t>Issue</t>
  </si>
  <si>
    <t>Resolution</t>
  </si>
  <si>
    <t>Mixed Dates</t>
  </si>
  <si>
    <t>All dates converted to real excel dates</t>
  </si>
  <si>
    <t>Missing Regions</t>
  </si>
  <si>
    <t>Set to "Unkown" and used TRIM</t>
  </si>
  <si>
    <t xml:space="preserve">Missing Quantities </t>
  </si>
  <si>
    <t>Set to 0 and flagged for review</t>
  </si>
  <si>
    <t>Missing Unit Price</t>
  </si>
  <si>
    <t>Negative Quantity</t>
  </si>
  <si>
    <t>Converted using ABS() and flagged for review</t>
  </si>
  <si>
    <t>Duplicate Rows</t>
  </si>
  <si>
    <t>Removed 18 duplicates</t>
  </si>
  <si>
    <t xml:space="preserve">Sales Rep Formatting </t>
  </si>
  <si>
    <t>Standardized using PROPER and TRIM</t>
  </si>
  <si>
    <t>Region Formatting</t>
  </si>
  <si>
    <t>Product names</t>
  </si>
  <si>
    <t xml:space="preserve">Standardized using TRIM </t>
  </si>
  <si>
    <t>Unit Cost &amp; Category</t>
  </si>
  <si>
    <t>Added using VLOOKUP from Product Cost Lookup</t>
  </si>
  <si>
    <t>Padlock Set (3Pc)</t>
  </si>
  <si>
    <t>Usb Wall Charger Uc-5</t>
  </si>
  <si>
    <t>NEGATIVE QUANTITY</t>
  </si>
  <si>
    <t>Solar Lantern Sl200</t>
  </si>
  <si>
    <t>Rechargeable Torch Rt-10</t>
  </si>
  <si>
    <t>Led Bulb 9W (Pack Of 4)</t>
  </si>
  <si>
    <t>Solar Lantern Sl-200</t>
  </si>
  <si>
    <t>Non-Stick Frying Pan 28Cm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</si>
</sst>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Ksh-441]\ #,##0.00"/>
    <numFmt numFmtId="165" formatCode="[$KES]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</font>
    <font>
      <sz val="16"/>
      <color rgb="FF000000"/>
      <name val="Arial"/>
    </font>
    <font>
      <u/>
      <sz val="12"/>
      <color rgb="FF000000"/>
      <name val="Arial"/>
    </font>
    <font>
      <b/>
      <u/>
      <sz val="12"/>
      <color rgb="FF000000"/>
      <name val="Arial"/>
    </font>
    <font>
      <b/>
      <u/>
      <sz val="16"/>
      <color rgb="FF000000"/>
      <name val="Arial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15" fontId="0" fillId="0" borderId="0" xfId="0" applyNumberFormat="1"/>
    <xf numFmtId="10" fontId="0" fillId="0" borderId="0" xfId="0" applyNumberFormat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0" fontId="0" fillId="0" borderId="16" xfId="0" applyBorder="1"/>
    <xf numFmtId="0" fontId="20" fillId="0" borderId="0" xfId="0" applyFont="1"/>
    <xf numFmtId="0" fontId="21" fillId="0" borderId="0" xfId="0" applyFont="1"/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0" fillId="15" borderId="12" xfId="24" applyNumberFormat="1" applyFont="1" applyBorder="1" applyAlignment="1">
      <alignment horizontal="center"/>
    </xf>
    <xf numFmtId="10" fontId="20" fillId="15" borderId="13" xfId="24" applyNumberFormat="1" applyFont="1" applyBorder="1" applyAlignment="1">
      <alignment horizontal="center"/>
    </xf>
    <xf numFmtId="0" fontId="19" fillId="23" borderId="10" xfId="32" applyFont="1" applyBorder="1" applyAlignment="1">
      <alignment horizontal="center"/>
    </xf>
    <xf numFmtId="0" fontId="20" fillId="23" borderId="11" xfId="32" applyFont="1" applyBorder="1" applyAlignment="1">
      <alignment horizontal="center"/>
    </xf>
    <xf numFmtId="0" fontId="20" fillId="23" borderId="14" xfId="32" applyFont="1" applyBorder="1" applyAlignment="1">
      <alignment horizontal="center"/>
    </xf>
    <xf numFmtId="0" fontId="20" fillId="23" borderId="15" xfId="32" applyFont="1" applyBorder="1" applyAlignment="1">
      <alignment horizontal="center"/>
    </xf>
    <xf numFmtId="0" fontId="18" fillId="27" borderId="10" xfId="36" applyFont="1" applyBorder="1" applyAlignment="1">
      <alignment horizontal="center"/>
    </xf>
    <xf numFmtId="0" fontId="18" fillId="27" borderId="11" xfId="36" applyFont="1" applyBorder="1" applyAlignment="1">
      <alignment horizontal="center"/>
    </xf>
    <xf numFmtId="0" fontId="19" fillId="31" borderId="10" xfId="40" applyFont="1" applyBorder="1" applyAlignment="1">
      <alignment horizontal="center"/>
    </xf>
    <xf numFmtId="0" fontId="1" fillId="31" borderId="11" xfId="40" applyBorder="1" applyAlignment="1">
      <alignment horizontal="center"/>
    </xf>
    <xf numFmtId="165" fontId="20" fillId="31" borderId="12" xfId="40" applyNumberFormat="1" applyFont="1" applyBorder="1" applyAlignment="1">
      <alignment horizontal="center"/>
    </xf>
    <xf numFmtId="165" fontId="20" fillId="31" borderId="13" xfId="40" applyNumberFormat="1" applyFont="1" applyBorder="1" applyAlignment="1">
      <alignment horizontal="center"/>
    </xf>
    <xf numFmtId="0" fontId="19" fillId="15" borderId="10" xfId="24" applyFont="1" applyBorder="1" applyAlignment="1">
      <alignment horizontal="center"/>
    </xf>
    <xf numFmtId="0" fontId="20" fillId="15" borderId="11" xfId="24" applyFont="1" applyBorder="1" applyAlignment="1">
      <alignment horizontal="center"/>
    </xf>
    <xf numFmtId="0" fontId="24" fillId="0" borderId="0" xfId="0" applyFont="1" applyAlignment="1">
      <alignment horizontal="center"/>
    </xf>
    <xf numFmtId="165" fontId="20" fillId="27" borderId="12" xfId="36" applyNumberFormat="1" applyFont="1" applyBorder="1" applyAlignment="1">
      <alignment horizontal="center" wrapText="1"/>
    </xf>
    <xf numFmtId="165" fontId="20" fillId="27" borderId="13" xfId="36" applyNumberFormat="1" applyFont="1" applyBorder="1" applyAlignment="1">
      <alignment horizontal="center" wrapText="1"/>
    </xf>
    <xf numFmtId="0" fontId="16" fillId="0" borderId="0" xfId="0" applyFont="1"/>
    <xf numFmtId="0" fontId="25" fillId="0" borderId="0" xfId="0" applyFont="1"/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Sales Data Project.xlsx]PIVOT - MONTH!PivotTable7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- MONTH'!$I$7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- MONTH'!$H$8:$H$20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- MONTH'!$I$8:$I$20</c:f>
              <c:numCache>
                <c:formatCode>[$KES]\ #,##0.00</c:formatCode>
                <c:ptCount val="12"/>
                <c:pt idx="0">
                  <c:v>982630</c:v>
                </c:pt>
                <c:pt idx="1">
                  <c:v>857320</c:v>
                </c:pt>
                <c:pt idx="2">
                  <c:v>1288420</c:v>
                </c:pt>
                <c:pt idx="3">
                  <c:v>16300</c:v>
                </c:pt>
                <c:pt idx="4">
                  <c:v>54650</c:v>
                </c:pt>
                <c:pt idx="5">
                  <c:v>159600</c:v>
                </c:pt>
                <c:pt idx="6">
                  <c:v>7650</c:v>
                </c:pt>
                <c:pt idx="7">
                  <c:v>77480</c:v>
                </c:pt>
                <c:pt idx="8">
                  <c:v>10400</c:v>
                </c:pt>
                <c:pt idx="9">
                  <c:v>37900</c:v>
                </c:pt>
                <c:pt idx="10">
                  <c:v>28100</c:v>
                </c:pt>
                <c:pt idx="11">
                  <c:v>51000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B-49FF-911B-135CAB830157}"/>
            </c:ext>
          </c:extLst>
        </c:ser>
        <c:ser>
          <c:idx val="1"/>
          <c:order val="1"/>
          <c:tx>
            <c:strRef>
              <c:f>'PIVOT - MONTH'!$J$7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- MONTH'!$H$8:$H$20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- MONTH'!$J$8:$J$20</c:f>
              <c:numCache>
                <c:formatCode>[$KES]\ #,##0.00</c:formatCode>
                <c:ptCount val="12"/>
                <c:pt idx="0">
                  <c:v>357600</c:v>
                </c:pt>
                <c:pt idx="1">
                  <c:v>319560</c:v>
                </c:pt>
                <c:pt idx="2">
                  <c:v>441280</c:v>
                </c:pt>
                <c:pt idx="3">
                  <c:v>6400</c:v>
                </c:pt>
                <c:pt idx="4">
                  <c:v>20150</c:v>
                </c:pt>
                <c:pt idx="5">
                  <c:v>41100</c:v>
                </c:pt>
                <c:pt idx="6">
                  <c:v>3200</c:v>
                </c:pt>
                <c:pt idx="7">
                  <c:v>26180</c:v>
                </c:pt>
                <c:pt idx="8">
                  <c:v>3400</c:v>
                </c:pt>
                <c:pt idx="9">
                  <c:v>13350</c:v>
                </c:pt>
                <c:pt idx="10">
                  <c:v>11300</c:v>
                </c:pt>
                <c:pt idx="11">
                  <c:v>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B-49FF-911B-135CAB830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274631"/>
        <c:axId val="2002913287"/>
      </c:lineChart>
      <c:catAx>
        <c:axId val="1997274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913287"/>
        <c:crosses val="autoZero"/>
        <c:auto val="1"/>
        <c:lblAlgn val="ctr"/>
        <c:lblOffset val="100"/>
        <c:noMultiLvlLbl val="0"/>
      </c:catAx>
      <c:valAx>
        <c:axId val="200291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KES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7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Sales Data Project.xlsx]PIVOT -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REGION'!$B$2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REGION'!$A$3:$A$10</c:f>
              <c:strCache>
                <c:ptCount val="7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  <c:pt idx="4">
                  <c:v>Nakuru</c:v>
                </c:pt>
                <c:pt idx="5">
                  <c:v>Thika</c:v>
                </c:pt>
                <c:pt idx="6">
                  <c:v>Unknown</c:v>
                </c:pt>
              </c:strCache>
            </c:strRef>
          </c:cat>
          <c:val>
            <c:numRef>
              <c:f>'PIVOT - REGION'!$B$3:$B$10</c:f>
              <c:numCache>
                <c:formatCode>[$KES]\ #,##0.00</c:formatCode>
                <c:ptCount val="7"/>
                <c:pt idx="0">
                  <c:v>580680</c:v>
                </c:pt>
                <c:pt idx="1">
                  <c:v>619050</c:v>
                </c:pt>
                <c:pt idx="2">
                  <c:v>636960</c:v>
                </c:pt>
                <c:pt idx="3">
                  <c:v>710700</c:v>
                </c:pt>
                <c:pt idx="4">
                  <c:v>425560</c:v>
                </c:pt>
                <c:pt idx="5">
                  <c:v>517900</c:v>
                </c:pt>
                <c:pt idx="6">
                  <c:v>80600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B-4B23-800A-3C8CE9F84D8A}"/>
            </c:ext>
          </c:extLst>
        </c:ser>
        <c:ser>
          <c:idx val="1"/>
          <c:order val="1"/>
          <c:tx>
            <c:strRef>
              <c:f>'PIVOT - REGION'!$C$2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 REGION'!$A$3:$A$10</c:f>
              <c:strCache>
                <c:ptCount val="7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  <c:pt idx="4">
                  <c:v>Nakuru</c:v>
                </c:pt>
                <c:pt idx="5">
                  <c:v>Thika</c:v>
                </c:pt>
                <c:pt idx="6">
                  <c:v>Unknown</c:v>
                </c:pt>
              </c:strCache>
            </c:strRef>
          </c:cat>
          <c:val>
            <c:numRef>
              <c:f>'PIVOT - REGION'!$C$3:$C$10</c:f>
              <c:numCache>
                <c:formatCode>[$KES]\ #,##0.00</c:formatCode>
                <c:ptCount val="7"/>
                <c:pt idx="0">
                  <c:v>198620</c:v>
                </c:pt>
                <c:pt idx="1">
                  <c:v>212600</c:v>
                </c:pt>
                <c:pt idx="2">
                  <c:v>240700</c:v>
                </c:pt>
                <c:pt idx="3">
                  <c:v>240850</c:v>
                </c:pt>
                <c:pt idx="4">
                  <c:v>155820</c:v>
                </c:pt>
                <c:pt idx="5">
                  <c:v>184380</c:v>
                </c:pt>
                <c:pt idx="6">
                  <c:v>31050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B-4B23-800A-3C8CE9F84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184519"/>
        <c:axId val="2005186567"/>
      </c:barChart>
      <c:catAx>
        <c:axId val="2005184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186567"/>
        <c:crosses val="autoZero"/>
        <c:auto val="1"/>
        <c:lblAlgn val="ctr"/>
        <c:lblOffset val="100"/>
        <c:noMultiLvlLbl val="0"/>
      </c:catAx>
      <c:valAx>
        <c:axId val="2005186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KES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184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19</xdr:row>
      <xdr:rowOff>180975</xdr:rowOff>
    </xdr:from>
    <xdr:to>
      <xdr:col>14</xdr:col>
      <xdr:colOff>285750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47545-A3B5-78C4-1852-8AC51243C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39</xdr:row>
      <xdr:rowOff>0</xdr:rowOff>
    </xdr:from>
    <xdr:to>
      <xdr:col>14</xdr:col>
      <xdr:colOff>314325</xdr:colOff>
      <xdr:row>53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A2696-1827-6999-1EFA-F1B64B6BEF98}"/>
            </a:ext>
            <a:ext uri="{147F2762-F138-4A5C-976F-8EAC2B608ADB}">
              <a16:predDERef xmlns:a16="http://schemas.microsoft.com/office/drawing/2014/main" pred="{8B647545-A3B5-78C4-1852-8AC51243C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38100</xdr:colOff>
      <xdr:row>75</xdr:row>
      <xdr:rowOff>0</xdr:rowOff>
    </xdr:from>
    <xdr:to>
      <xdr:col>9</xdr:col>
      <xdr:colOff>619125</xdr:colOff>
      <xdr:row>86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eaned Region">
              <a:extLst>
                <a:ext uri="{FF2B5EF4-FFF2-40B4-BE49-F238E27FC236}">
                  <a16:creationId xmlns:a16="http://schemas.microsoft.com/office/drawing/2014/main" id="{5C958C2B-6422-30BB-315B-45F3E7924CB6}"/>
                </a:ext>
                <a:ext uri="{147F2762-F138-4A5C-976F-8EAC2B608ADB}">
                  <a16:predDERef xmlns:a16="http://schemas.microsoft.com/office/drawing/2014/main" pred="{0D0A2696-1827-6999-1EFA-F1B64B6BEF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ed 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14478000"/>
              <a:ext cx="1800225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75</xdr:row>
      <xdr:rowOff>0</xdr:rowOff>
    </xdr:from>
    <xdr:to>
      <xdr:col>12</xdr:col>
      <xdr:colOff>123825</xdr:colOff>
      <xdr:row>88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">
              <a:extLst>
                <a:ext uri="{FF2B5EF4-FFF2-40B4-BE49-F238E27FC236}">
                  <a16:creationId xmlns:a16="http://schemas.microsoft.com/office/drawing/2014/main" id="{6F7C4737-CC0B-EEB5-DCCE-F4E003E44579}"/>
                </a:ext>
                <a:ext uri="{147F2762-F138-4A5C-976F-8EAC2B608ADB}">
                  <a16:predDERef xmlns:a16="http://schemas.microsoft.com/office/drawing/2014/main" pred="{5C958C2B-6422-30BB-315B-45F3E7924C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3950" y="14478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055383564817" createdVersion="8" refreshedVersion="8" minRefreshableVersion="3" recordCount="340" xr:uid="{06D2519B-B21A-4C25-A654-E35767AC704D}">
  <cacheSource type="worksheet">
    <worksheetSource ref="A1:W341" sheet="Cleaned Sales Data"/>
  </cacheSource>
  <cacheFields count="23">
    <cacheField name="Order ID" numFmtId="0">
      <sharedItems containsSemiMixedTypes="0" containsString="0" containsNumber="1" containsInteger="1" minValue="10001" maxValue="10340"/>
    </cacheField>
    <cacheField name="Order Date" numFmtId="0">
      <sharedItems containsDate="1" containsMixedTypes="1" minDate="2024-01-01T00:00:00" maxDate="2024-12-04T00:00:00"/>
    </cacheField>
    <cacheField name="Cleaned Order Date" numFmtId="0">
      <sharedItems containsSemiMixedTypes="0" containsString="0" containsNumber="1" containsInteger="1" minValue="45292" maxValue="45629"/>
    </cacheField>
    <cacheField name="Region" numFmtId="0">
      <sharedItems containsBlank="1"/>
    </cacheField>
    <cacheField name="Cleaned Region" numFmtId="0">
      <sharedItems count="7">
        <s v="Mombasa"/>
        <s v="Nakuru"/>
        <s v="Eldoret"/>
        <s v="Kisumu"/>
        <s v="Thika"/>
        <s v="Nairobi"/>
        <s v="Unknown"/>
      </sharedItems>
    </cacheField>
    <cacheField name="Sales Rep" numFmtId="0">
      <sharedItems/>
    </cacheField>
    <cacheField name="Cleaned Sales Rep" numFmtId="0">
      <sharedItems count="8">
        <s v="Peter Otieno"/>
        <s v="Faith Wanjiru"/>
        <s v="Grace Achieng"/>
        <s v="Mercy Njeri"/>
        <s v="Aisha Hassan"/>
        <s v="Samuel Kiptoo"/>
        <s v="Brian Mutua"/>
        <s v="John Mwangi"/>
      </sharedItems>
    </cacheField>
    <cacheField name="Product ID" numFmtId="0">
      <sharedItems/>
    </cacheField>
    <cacheField name="Product Name" numFmtId="0">
      <sharedItems/>
    </cacheField>
    <cacheField name="Cleaned Product Name" numFmtId="0">
      <sharedItems count="18">
        <s v="Kitchen Knife Set"/>
        <s v="20L Jerrycan - Blue"/>
        <s v="Water Dispenser Stand"/>
        <s v="Plastic Storage Basket L"/>
        <s v="Garden Hose 20M"/>
        <s v="Padlock Set (3Pc)"/>
        <s v="Usb Wall Charger Uc-5"/>
        <s v="Solar Lantern Sl200"/>
        <s v="Rechargeable Torch Rt-10"/>
        <s v="Led Bulb 9W (Pack Of 4)"/>
        <s v="Mosquito Net - Family Size"/>
        <s v="Solar Lantern Sl-200"/>
        <s v="Cooking Gas Burner Cb-2"/>
        <s v="Wheelbarrow Heavy Duty"/>
        <s v="Non-Stick Frying Pan 28Cm"/>
        <s v="Wheelbarrow - Heavy Duty"/>
        <s v="Plastic Storage Basket (L)"/>
        <s v="Thermos Flask 1L"/>
      </sharedItems>
    </cacheField>
    <cacheField name="Quantity" numFmtId="0">
      <sharedItems containsString="0" containsBlank="1" containsNumber="1" containsInteger="1" minValue="-12" maxValue="20"/>
    </cacheField>
    <cacheField name="Cleaned Quantity" numFmtId="0">
      <sharedItems containsSemiMixedTypes="0" containsString="0" containsNumber="1" containsInteger="1" minValue="-12" maxValue="20"/>
    </cacheField>
    <cacheField name="Unit Price (KES)" numFmtId="0">
      <sharedItems containsString="0" containsBlank="1" containsNumber="1" containsInteger="1" minValue="370" maxValue="5300"/>
    </cacheField>
    <cacheField name="Cleaned Unit Price (KES)" numFmtId="0">
      <sharedItems containsSemiMixedTypes="0" containsString="0" containsNumber="1" containsInteger="1" minValue="0" maxValue="5300"/>
    </cacheField>
    <cacheField name="Flags" numFmtId="0">
      <sharedItems/>
    </cacheField>
    <cacheField name="Cleaned Flags" numFmtId="0">
      <sharedItems/>
    </cacheField>
    <cacheField name="Unit Cost" numFmtId="0">
      <sharedItems containsSemiMixedTypes="0" containsString="0" containsNumber="1" containsInteger="1" minValue="250" maxValue="3500"/>
    </cacheField>
    <cacheField name="Category" numFmtId="0">
      <sharedItems count="4">
        <s v="Kitchenware"/>
        <s v="Household"/>
        <s v="Hardware"/>
        <s v="Electronics"/>
      </sharedItems>
    </cacheField>
    <cacheField name="Revenue" numFmtId="0">
      <sharedItems containsSemiMixedTypes="0" containsString="0" containsNumber="1" containsInteger="1" minValue="-8400" maxValue="105000"/>
    </cacheField>
    <cacheField name="Cost" numFmtId="0">
      <sharedItems containsSemiMixedTypes="0" containsString="0" containsNumber="1" containsInteger="1" minValue="-5400" maxValue="70000"/>
    </cacheField>
    <cacheField name="Profit" numFmtId="0">
      <sharedItems containsSemiMixedTypes="0" containsString="0" containsNumber="1" containsInteger="1" minValue="-16500" maxValue="35000"/>
    </cacheField>
    <cacheField name="Margin %" numFmtId="10">
      <sharedItems containsSemiMixedTypes="0" containsString="0" containsNumber="1" minValue="0" maxValue="0.51923076923076927"/>
    </cacheField>
    <cacheField name="Month" numFmtId="0">
      <sharedItems count="12">
        <s v="Jan"/>
        <s v="Mar"/>
        <s v="Feb"/>
        <s v="Aug"/>
        <s v="Nov"/>
        <s v="Jun"/>
        <s v="Jul"/>
        <s v="May"/>
        <s v="Oct"/>
        <s v="Dec"/>
        <s v="Apr"/>
        <s v="Sep"/>
      </sharedItems>
    </cacheField>
  </cacheFields>
  <extLst>
    <ext xmlns:x14="http://schemas.microsoft.com/office/spreadsheetml/2009/9/main" uri="{725AE2AE-9491-48be-B2B4-4EB974FC3084}">
      <x14:pivotCacheDefinition pivotCacheId="12996309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n v="10008"/>
    <d v="2024-01-15T00:00:00"/>
    <n v="45306"/>
    <s v="mombasa"/>
    <x v="0"/>
    <s v="Peter Otieno"/>
    <x v="0"/>
    <s v="P013"/>
    <s v="Kitchen Knife Set"/>
    <x v="0"/>
    <n v="20"/>
    <n v="20"/>
    <n v="1350"/>
    <n v="1350"/>
    <s v=""/>
    <s v=""/>
    <n v="800"/>
    <x v="0"/>
    <n v="27000"/>
    <n v="16000"/>
    <n v="11000"/>
    <n v="0.40740740740740738"/>
    <x v="0"/>
  </r>
  <r>
    <n v="10300"/>
    <d v="2024-03-13T00:00:00"/>
    <n v="45364"/>
    <s v="nakuru"/>
    <x v="1"/>
    <s v="Faith Wanjiru"/>
    <x v="1"/>
    <s v="P013"/>
    <s v="Kitchen Knife Set"/>
    <x v="0"/>
    <n v="6"/>
    <n v="6"/>
    <n v="1350"/>
    <n v="1350"/>
    <s v=""/>
    <s v=""/>
    <n v="800"/>
    <x v="0"/>
    <n v="8100"/>
    <n v="4800"/>
    <n v="3300"/>
    <n v="0.40740740740740738"/>
    <x v="1"/>
  </r>
  <r>
    <n v="10328"/>
    <d v="2024-02-16T00:00:00"/>
    <n v="45338"/>
    <s v="mombasa"/>
    <x v="0"/>
    <s v="Grace Achieng"/>
    <x v="2"/>
    <s v="P001"/>
    <s v="20L Jerrycan - Blue"/>
    <x v="1"/>
    <n v="4"/>
    <n v="4"/>
    <n v="600"/>
    <n v="600"/>
    <s v=""/>
    <s v=""/>
    <n v="350"/>
    <x v="1"/>
    <n v="2400"/>
    <n v="1400"/>
    <n v="1000"/>
    <n v="0.41666666666666669"/>
    <x v="2"/>
  </r>
  <r>
    <n v="10216"/>
    <d v="2024-03-22T00:00:00"/>
    <n v="45373"/>
    <s v="Eldoret"/>
    <x v="2"/>
    <s v="Grace Achieng"/>
    <x v="2"/>
    <s v="P015"/>
    <s v="Water Dispenser Stand"/>
    <x v="2"/>
    <n v="10"/>
    <n v="10"/>
    <n v="2300"/>
    <n v="2300"/>
    <s v=""/>
    <s v=""/>
    <n v="1500"/>
    <x v="1"/>
    <n v="23000"/>
    <n v="15000"/>
    <n v="8000"/>
    <n v="0.34782608695652173"/>
    <x v="1"/>
  </r>
  <r>
    <n v="10065"/>
    <d v="2024-08-01T00:00:00"/>
    <n v="45505"/>
    <s v="KISUMU"/>
    <x v="3"/>
    <s v="Mercy Njeri"/>
    <x v="3"/>
    <s v="P006"/>
    <s v="Plastic Storage Basket L"/>
    <x v="3"/>
    <n v="8"/>
    <n v="8"/>
    <n v="420"/>
    <n v="420"/>
    <s v=""/>
    <s v=""/>
    <n v="250"/>
    <x v="1"/>
    <n v="3360"/>
    <n v="2000"/>
    <n v="1360"/>
    <n v="0.40476190476190477"/>
    <x v="3"/>
  </r>
  <r>
    <n v="10222"/>
    <d v="2024-02-17T00:00:00"/>
    <n v="45339"/>
    <s v="mombasa"/>
    <x v="0"/>
    <s v="aisha hassan"/>
    <x v="4"/>
    <s v="P001"/>
    <s v="20L Jerrycan - Blue"/>
    <x v="1"/>
    <n v="5"/>
    <n v="5"/>
    <n v="600"/>
    <n v="600"/>
    <s v=""/>
    <s v=""/>
    <n v="350"/>
    <x v="1"/>
    <n v="3000"/>
    <n v="1750"/>
    <n v="1250"/>
    <n v="0.41666666666666669"/>
    <x v="2"/>
  </r>
  <r>
    <n v="10140"/>
    <d v="2024-01-15T00:00:00"/>
    <n v="45306"/>
    <s v="Thika "/>
    <x v="4"/>
    <s v="Faith Wanjiru"/>
    <x v="1"/>
    <s v="P012"/>
    <s v="Garden Hose 20m"/>
    <x v="4"/>
    <n v="15"/>
    <n v="15"/>
    <n v="1750"/>
    <n v="1750"/>
    <s v=""/>
    <s v=""/>
    <n v="1100"/>
    <x v="2"/>
    <n v="26250"/>
    <n v="16500"/>
    <n v="9750"/>
    <n v="0.37142857142857144"/>
    <x v="0"/>
  </r>
  <r>
    <n v="10268"/>
    <d v="2024-02-14T00:00:00"/>
    <n v="45336"/>
    <s v="mombasa"/>
    <x v="0"/>
    <s v="Faith Wanjiru"/>
    <x v="1"/>
    <s v="P011"/>
    <s v="PADLOCK SET (3PC)"/>
    <x v="5"/>
    <n v="6"/>
    <n v="6"/>
    <n v="700"/>
    <n v="700"/>
    <s v=""/>
    <s v=""/>
    <n v="450"/>
    <x v="2"/>
    <n v="4200"/>
    <n v="2700"/>
    <n v="1500"/>
    <n v="0.35714285714285715"/>
    <x v="2"/>
  </r>
  <r>
    <n v="10025"/>
    <d v="2024-02-01T00:00:00"/>
    <n v="45323"/>
    <s v="KISUMU"/>
    <x v="3"/>
    <s v="Peter Otieno"/>
    <x v="0"/>
    <s v="P013"/>
    <s v="Kitchen Knife Set"/>
    <x v="0"/>
    <n v="2"/>
    <n v="2"/>
    <n v="1350"/>
    <n v="1350"/>
    <s v=""/>
    <s v=""/>
    <n v="800"/>
    <x v="0"/>
    <n v="2700"/>
    <n v="1600"/>
    <n v="1100"/>
    <n v="0.40740740740740738"/>
    <x v="2"/>
  </r>
  <r>
    <n v="10205"/>
    <d v="2024-11-03T00:00:00"/>
    <n v="45599"/>
    <s v="mombasa"/>
    <x v="0"/>
    <s v="Grace Achieng"/>
    <x v="2"/>
    <s v="P008"/>
    <s v="USB Wall Charger UC-5"/>
    <x v="6"/>
    <n v="2"/>
    <n v="2"/>
    <n v="500"/>
    <n v="500"/>
    <s v=""/>
    <s v=""/>
    <n v="300"/>
    <x v="3"/>
    <n v="1000"/>
    <n v="600"/>
    <n v="400"/>
    <n v="0.4"/>
    <x v="4"/>
  </r>
  <r>
    <n v="10188"/>
    <d v="2024-03-19T00:00:00"/>
    <n v="45370"/>
    <s v="Thika"/>
    <x v="4"/>
    <s v="Peter Otieno"/>
    <x v="0"/>
    <s v="P008"/>
    <s v="USB Wall Charger UC-5"/>
    <x v="6"/>
    <n v="6"/>
    <n v="6"/>
    <n v="500"/>
    <n v="500"/>
    <s v=""/>
    <s v=""/>
    <n v="300"/>
    <x v="3"/>
    <n v="3000"/>
    <n v="1800"/>
    <n v="1200"/>
    <n v="0.4"/>
    <x v="1"/>
  </r>
  <r>
    <n v="10152"/>
    <d v="2024-01-30T00:00:00"/>
    <n v="45321"/>
    <s v="nakuru"/>
    <x v="1"/>
    <s v="Faith Wanjiru"/>
    <x v="1"/>
    <s v="P008"/>
    <s v="USB Wall Charger UC-5"/>
    <x v="6"/>
    <n v="12"/>
    <n v="12"/>
    <n v="500"/>
    <n v="500"/>
    <s v=""/>
    <s v=""/>
    <n v="300"/>
    <x v="3"/>
    <n v="6000"/>
    <n v="3600"/>
    <n v="2400"/>
    <n v="0.4"/>
    <x v="0"/>
  </r>
  <r>
    <n v="10137"/>
    <d v="2024-02-03T00:00:00"/>
    <n v="45325"/>
    <s v="nakuru"/>
    <x v="1"/>
    <s v="Faith Wanjiru"/>
    <x v="1"/>
    <s v="P008"/>
    <s v="USB Wall Charger UC-5"/>
    <x v="6"/>
    <n v="-5"/>
    <n v="-5"/>
    <n v="500"/>
    <n v="500"/>
    <s v="NEGATIVE QUANTITY"/>
    <s v="NEGATIVE QUANTITY"/>
    <n v="300"/>
    <x v="3"/>
    <n v="-2500"/>
    <n v="-1500"/>
    <n v="-1000"/>
    <n v="0.4"/>
    <x v="2"/>
  </r>
  <r>
    <n v="10107"/>
    <d v="2024-01-05T00:00:00"/>
    <n v="45296"/>
    <s v="KISUMU"/>
    <x v="3"/>
    <s v="Faith Wanjiru"/>
    <x v="1"/>
    <s v="P001"/>
    <s v="20L Jerrycan - Blue "/>
    <x v="1"/>
    <n v="4"/>
    <n v="4"/>
    <n v="500"/>
    <n v="500"/>
    <s v=""/>
    <s v=""/>
    <n v="350"/>
    <x v="1"/>
    <n v="2000"/>
    <n v="1400"/>
    <n v="600"/>
    <n v="0.3"/>
    <x v="0"/>
  </r>
  <r>
    <n v="10067"/>
    <d v="2024-02-24T00:00:00"/>
    <n v="45346"/>
    <s v="Thika"/>
    <x v="4"/>
    <s v="Samuel Kiptoo"/>
    <x v="5"/>
    <s v="P008"/>
    <s v="USB Wall Charger UC-5"/>
    <x v="6"/>
    <n v="5"/>
    <n v="5"/>
    <n v="500"/>
    <n v="500"/>
    <s v=""/>
    <s v=""/>
    <n v="300"/>
    <x v="3"/>
    <n v="2500"/>
    <n v="1500"/>
    <n v="1000"/>
    <n v="0.4"/>
    <x v="2"/>
  </r>
  <r>
    <n v="10030"/>
    <d v="2024-06-02T00:00:00"/>
    <n v="45445"/>
    <s v=" Mombasa"/>
    <x v="0"/>
    <s v="Brian Mutua"/>
    <x v="6"/>
    <s v="P013"/>
    <s v="Kitchen Knife Set"/>
    <x v="0"/>
    <n v="15"/>
    <n v="15"/>
    <n v="1400"/>
    <n v="1400"/>
    <s v=""/>
    <s v=""/>
    <n v="800"/>
    <x v="0"/>
    <n v="21000"/>
    <n v="12000"/>
    <n v="9000"/>
    <n v="0.42857142857142855"/>
    <x v="5"/>
  </r>
  <r>
    <n v="10109"/>
    <d v="2024-11-01T00:00:00"/>
    <n v="45597"/>
    <s v="Thika"/>
    <x v="4"/>
    <s v="Brian Mutua  "/>
    <x v="6"/>
    <s v="P002"/>
    <s v="Solar Lantern SL200"/>
    <x v="7"/>
    <n v="8"/>
    <n v="8"/>
    <n v="1550"/>
    <n v="1550"/>
    <s v=""/>
    <s v=""/>
    <n v="900"/>
    <x v="3"/>
    <n v="12400"/>
    <n v="7200"/>
    <n v="5200"/>
    <n v="0.41935483870967744"/>
    <x v="4"/>
  </r>
  <r>
    <n v="10218"/>
    <d v="2024-03-14T00:00:00"/>
    <n v="45365"/>
    <s v="Thika"/>
    <x v="4"/>
    <s v="  Faith Wanjiru"/>
    <x v="1"/>
    <s v="P003"/>
    <s v="RECHARGEABLE TORCH RT-10"/>
    <x v="8"/>
    <n v="10"/>
    <n v="10"/>
    <n v="900"/>
    <n v="900"/>
    <s v=""/>
    <s v=""/>
    <n v="600"/>
    <x v="3"/>
    <n v="9000"/>
    <n v="6000"/>
    <n v="3000"/>
    <n v="0.33333333333333331"/>
    <x v="1"/>
  </r>
  <r>
    <n v="10228"/>
    <d v="2024-03-30T00:00:00"/>
    <n v="45381"/>
    <s v="Thika"/>
    <x v="4"/>
    <s v="Grace Achieng"/>
    <x v="2"/>
    <s v="P014"/>
    <s v="LED Bulb 9W (Pack of 4)"/>
    <x v="9"/>
    <n v="4"/>
    <n v="4"/>
    <n v="780"/>
    <n v="780"/>
    <s v=""/>
    <s v=""/>
    <n v="480"/>
    <x v="3"/>
    <n v="3120"/>
    <n v="1920"/>
    <n v="1200"/>
    <n v="0.38461538461538464"/>
    <x v="1"/>
  </r>
  <r>
    <n v="10111"/>
    <s v="21/01/2024"/>
    <n v="45312"/>
    <s v=" Nairobi"/>
    <x v="5"/>
    <s v="Peter Otieno"/>
    <x v="0"/>
    <s v="P014"/>
    <s v="LED Bulb 9W (Pack of 4)"/>
    <x v="9"/>
    <n v="15"/>
    <n v="15"/>
    <n v="830"/>
    <n v="830"/>
    <s v=""/>
    <s v=""/>
    <n v="480"/>
    <x v="3"/>
    <n v="12450"/>
    <n v="7200"/>
    <n v="5250"/>
    <n v="0.42168674698795183"/>
    <x v="0"/>
  </r>
  <r>
    <n v="10255"/>
    <d v="2024-06-03T00:00:00"/>
    <n v="45446"/>
    <s v=" Eldoret"/>
    <x v="2"/>
    <s v="Faith Wanjiru"/>
    <x v="1"/>
    <s v="P011"/>
    <s v="PADLOCK SET (3PC)"/>
    <x v="5"/>
    <n v="20"/>
    <n v="20"/>
    <n v="750"/>
    <n v="750"/>
    <s v=""/>
    <s v=""/>
    <n v="450"/>
    <x v="2"/>
    <n v="15000"/>
    <n v="9000"/>
    <n v="6000"/>
    <n v="0.4"/>
    <x v="5"/>
  </r>
  <r>
    <n v="10236"/>
    <d v="2024-02-13T00:00:00"/>
    <n v="45335"/>
    <s v="Thika"/>
    <x v="4"/>
    <s v="Faith Wanjiru"/>
    <x v="1"/>
    <s v="P011"/>
    <s v="PADLOCK SET (3PC)"/>
    <x v="5"/>
    <n v="12"/>
    <n v="12"/>
    <n v="750"/>
    <n v="750"/>
    <s v=""/>
    <s v=""/>
    <n v="450"/>
    <x v="2"/>
    <n v="9000"/>
    <n v="5400"/>
    <n v="3600"/>
    <n v="0.4"/>
    <x v="2"/>
  </r>
  <r>
    <n v="10055"/>
    <d v="2024-03-27T00:00:00"/>
    <n v="45378"/>
    <s v="KISUMU"/>
    <x v="3"/>
    <s v="John Mwangi"/>
    <x v="7"/>
    <s v="P013"/>
    <s v="Kitchen Knife Set"/>
    <x v="0"/>
    <n v="3"/>
    <n v="3"/>
    <n v="1350"/>
    <n v="1350"/>
    <s v=""/>
    <s v=""/>
    <n v="800"/>
    <x v="0"/>
    <n v="4050"/>
    <n v="2400"/>
    <n v="1650"/>
    <n v="0.40740740740740738"/>
    <x v="1"/>
  </r>
  <r>
    <n v="10090"/>
    <d v="2024-02-13T00:00:00"/>
    <n v="45335"/>
    <s v="mombasa"/>
    <x v="0"/>
    <s v="Mercy Njeri"/>
    <x v="3"/>
    <s v="P013"/>
    <s v="Kitchen Knife Set"/>
    <x v="0"/>
    <n v="3"/>
    <n v="3"/>
    <n v="1250"/>
    <n v="1250"/>
    <s v=""/>
    <s v=""/>
    <n v="800"/>
    <x v="0"/>
    <n v="3750"/>
    <n v="2400"/>
    <n v="1350"/>
    <n v="0.36"/>
    <x v="2"/>
  </r>
  <r>
    <n v="10197"/>
    <d v="2024-02-16T00:00:00"/>
    <n v="45338"/>
    <s v="nakuru"/>
    <x v="1"/>
    <s v="Peter Otieno"/>
    <x v="0"/>
    <s v="P003"/>
    <s v="RECHARGEABLE TORCH RT-10"/>
    <x v="8"/>
    <n v="1"/>
    <n v="1"/>
    <n v="1050"/>
    <n v="1050"/>
    <s v=""/>
    <s v=""/>
    <n v="600"/>
    <x v="3"/>
    <n v="1050"/>
    <n v="600"/>
    <n v="450"/>
    <n v="0.42857142857142855"/>
    <x v="2"/>
  </r>
  <r>
    <n v="10242"/>
    <d v="2024-03-17T00:00:00"/>
    <n v="45368"/>
    <m/>
    <x v="6"/>
    <s v="Mercy Njeri"/>
    <x v="3"/>
    <s v="P007"/>
    <s v="MOSQUITO NET - FAMILY SIZE"/>
    <x v="10"/>
    <n v="20"/>
    <n v="20"/>
    <n v="650"/>
    <n v="650"/>
    <s v=""/>
    <s v=""/>
    <n v="400"/>
    <x v="1"/>
    <n v="13000"/>
    <n v="8000"/>
    <n v="5000"/>
    <n v="0.38461538461538464"/>
    <x v="1"/>
  </r>
  <r>
    <n v="10289"/>
    <s v="18/02/2024"/>
    <n v="45340"/>
    <s v="nakuru"/>
    <x v="1"/>
    <s v="Peter Otieno  "/>
    <x v="0"/>
    <s v="P002"/>
    <s v="Solar Lantern SL-200"/>
    <x v="11"/>
    <n v="1"/>
    <n v="1"/>
    <n v="1450"/>
    <n v="1450"/>
    <s v=""/>
    <s v=""/>
    <n v="900"/>
    <x v="3"/>
    <n v="1450"/>
    <n v="900"/>
    <n v="550"/>
    <n v="0.37931034482758619"/>
    <x v="2"/>
  </r>
  <r>
    <n v="10108"/>
    <d v="2024-03-24T00:00:00"/>
    <n v="45375"/>
    <s v="KISUMU"/>
    <x v="3"/>
    <s v="Samuel Kiptoo"/>
    <x v="5"/>
    <s v="P002"/>
    <s v="solar lantern sl-200 "/>
    <x v="11"/>
    <n v="6"/>
    <n v="6"/>
    <n v="1500"/>
    <n v="1500"/>
    <s v=""/>
    <s v=""/>
    <n v="900"/>
    <x v="3"/>
    <n v="9000"/>
    <n v="5400"/>
    <n v="3600"/>
    <n v="0.4"/>
    <x v="1"/>
  </r>
  <r>
    <n v="10087"/>
    <d v="2024-02-20T00:00:00"/>
    <n v="45342"/>
    <m/>
    <x v="6"/>
    <s v="John Mwangi"/>
    <x v="7"/>
    <s v="P001"/>
    <s v="20L Jerrycan - Blue"/>
    <x v="1"/>
    <n v="4"/>
    <n v="4"/>
    <n v="550"/>
    <n v="550"/>
    <s v=""/>
    <s v=""/>
    <n v="350"/>
    <x v="1"/>
    <n v="2200"/>
    <n v="1400"/>
    <n v="800"/>
    <n v="0.36363636363636365"/>
    <x v="2"/>
  </r>
  <r>
    <n v="10263"/>
    <d v="2024-02-06T00:00:00"/>
    <n v="45328"/>
    <s v="Thika "/>
    <x v="4"/>
    <s v="Samuel Kiptoo"/>
    <x v="5"/>
    <s v="P003"/>
    <s v="RECHARGEABLE TORCH RT-10"/>
    <x v="8"/>
    <n v="1"/>
    <n v="1"/>
    <n v="950"/>
    <n v="950"/>
    <s v=""/>
    <s v=""/>
    <n v="600"/>
    <x v="3"/>
    <n v="950"/>
    <n v="600"/>
    <n v="350"/>
    <n v="0.36842105263157893"/>
    <x v="2"/>
  </r>
  <r>
    <n v="10038"/>
    <d v="2024-03-25T00:00:00"/>
    <n v="45376"/>
    <s v=" Nairobi"/>
    <x v="5"/>
    <s v="Grace Achieng"/>
    <x v="2"/>
    <s v="P011"/>
    <s v="PADLOCK SET (3PC)"/>
    <x v="5"/>
    <n v="8"/>
    <n v="8"/>
    <n v="700"/>
    <n v="700"/>
    <s v=""/>
    <s v=""/>
    <n v="450"/>
    <x v="2"/>
    <n v="5600"/>
    <n v="3600"/>
    <n v="2000"/>
    <n v="0.35714285714285715"/>
    <x v="1"/>
  </r>
  <r>
    <n v="10148"/>
    <d v="2024-01-08T00:00:00"/>
    <n v="45299"/>
    <s v="Eldoret"/>
    <x v="2"/>
    <s v="Brian Mutua"/>
    <x v="6"/>
    <s v="P007"/>
    <s v="MOSQUITO NET - FAMILY SIZE"/>
    <x v="10"/>
    <n v="12"/>
    <n v="12"/>
    <n v="750"/>
    <n v="750"/>
    <s v=""/>
    <s v=""/>
    <n v="400"/>
    <x v="1"/>
    <n v="9000"/>
    <n v="4800"/>
    <n v="4200"/>
    <n v="0.46666666666666667"/>
    <x v="0"/>
  </r>
  <r>
    <n v="10180"/>
    <d v="2024-03-31T00:00:00"/>
    <n v="45382"/>
    <s v="Eldoret"/>
    <x v="2"/>
    <s v="Brian Mutua"/>
    <x v="6"/>
    <s v="P003"/>
    <s v="RECHARGEABLE TORCH RT-10"/>
    <x v="8"/>
    <n v="15"/>
    <n v="15"/>
    <n v="950"/>
    <n v="950"/>
    <s v=""/>
    <s v=""/>
    <n v="600"/>
    <x v="3"/>
    <n v="14250"/>
    <n v="9000"/>
    <n v="5250"/>
    <n v="0.36842105263157893"/>
    <x v="1"/>
  </r>
  <r>
    <n v="10027"/>
    <d v="2024-01-05T00:00:00"/>
    <n v="45296"/>
    <s v="Nairobi"/>
    <x v="5"/>
    <s v="Brian Mutua"/>
    <x v="6"/>
    <s v="P006"/>
    <s v="plastic storage basket l "/>
    <x v="3"/>
    <n v="6"/>
    <n v="6"/>
    <n v="470"/>
    <n v="470"/>
    <s v=""/>
    <s v=""/>
    <n v="250"/>
    <x v="1"/>
    <n v="2820"/>
    <n v="1500"/>
    <n v="1320"/>
    <n v="0.46808510638297873"/>
    <x v="0"/>
  </r>
  <r>
    <n v="10276"/>
    <d v="2024-01-19T00:00:00"/>
    <n v="45310"/>
    <s v="mombasa"/>
    <x v="0"/>
    <s v="Peter Otieno"/>
    <x v="0"/>
    <s v="P004"/>
    <s v="Cooking Gas Burner CB-2"/>
    <x v="12"/>
    <n v="15"/>
    <n v="15"/>
    <n v="1850"/>
    <n v="1850"/>
    <s v=""/>
    <s v=""/>
    <n v="1200"/>
    <x v="0"/>
    <n v="27750"/>
    <n v="18000"/>
    <n v="9750"/>
    <n v="0.35135135135135137"/>
    <x v="0"/>
  </r>
  <r>
    <n v="10184"/>
    <d v="2024-01-17T00:00:00"/>
    <n v="45308"/>
    <s v="Eldoret"/>
    <x v="2"/>
    <s v="  Aisha Hassan"/>
    <x v="4"/>
    <s v="P013"/>
    <s v="Kitchen Knife Set"/>
    <x v="0"/>
    <n v="6"/>
    <n v="6"/>
    <n v="1250"/>
    <n v="1250"/>
    <s v=""/>
    <s v=""/>
    <n v="800"/>
    <x v="0"/>
    <n v="7500"/>
    <n v="4800"/>
    <n v="2700"/>
    <n v="0.36"/>
    <x v="0"/>
  </r>
  <r>
    <n v="10062"/>
    <d v="2024-03-24T00:00:00"/>
    <n v="45375"/>
    <s v="mombasa"/>
    <x v="0"/>
    <s v="aisha hassan"/>
    <x v="4"/>
    <s v="P001"/>
    <s v="20L Jerrycan - Blue"/>
    <x v="1"/>
    <n v="3"/>
    <n v="3"/>
    <n v="650"/>
    <n v="650"/>
    <s v=""/>
    <s v=""/>
    <n v="350"/>
    <x v="1"/>
    <n v="1950"/>
    <n v="1050"/>
    <n v="900"/>
    <n v="0.46153846153846156"/>
    <x v="1"/>
  </r>
  <r>
    <n v="10296"/>
    <d v="2024-03-24T00:00:00"/>
    <n v="45375"/>
    <s v="Eldoret"/>
    <x v="2"/>
    <s v="Samuel Kiptoo"/>
    <x v="5"/>
    <s v="P012"/>
    <s v="Garden Hose 20m"/>
    <x v="4"/>
    <n v="15"/>
    <n v="15"/>
    <n v="1650"/>
    <n v="1650"/>
    <s v=""/>
    <s v=""/>
    <n v="1100"/>
    <x v="2"/>
    <n v="24750"/>
    <n v="16500"/>
    <n v="8250"/>
    <n v="0.33333333333333331"/>
    <x v="1"/>
  </r>
  <r>
    <n v="10186"/>
    <d v="2024-01-12T00:00:00"/>
    <n v="45303"/>
    <s v="Thika"/>
    <x v="4"/>
    <s v="Grace Achieng"/>
    <x v="2"/>
    <s v="P001"/>
    <s v="20L Jerrycan - Blue"/>
    <x v="1"/>
    <n v="4"/>
    <n v="4"/>
    <n v="600"/>
    <n v="600"/>
    <s v=""/>
    <s v=""/>
    <n v="350"/>
    <x v="1"/>
    <n v="2400"/>
    <n v="1400"/>
    <n v="1000"/>
    <n v="0.41666666666666669"/>
    <x v="0"/>
  </r>
  <r>
    <n v="10311"/>
    <d v="2024-02-10T00:00:00"/>
    <n v="45332"/>
    <s v="Thika"/>
    <x v="4"/>
    <s v="Samuel Kiptoo"/>
    <x v="5"/>
    <s v="P012"/>
    <s v="Garden Hose 20m"/>
    <x v="4"/>
    <n v="5"/>
    <n v="5"/>
    <n v="1800"/>
    <n v="1800"/>
    <s v=""/>
    <s v=""/>
    <n v="1100"/>
    <x v="2"/>
    <n v="9000"/>
    <n v="5500"/>
    <n v="3500"/>
    <n v="0.3888888888888889"/>
    <x v="2"/>
  </r>
  <r>
    <n v="10170"/>
    <d v="2024-02-14T00:00:00"/>
    <n v="45336"/>
    <s v="Nairobi"/>
    <x v="5"/>
    <s v="aisha hassan"/>
    <x v="4"/>
    <s v="P002"/>
    <s v="solar lantern sl-200 "/>
    <x v="11"/>
    <n v="5"/>
    <n v="5"/>
    <n v="1500"/>
    <n v="1500"/>
    <s v=""/>
    <s v=""/>
    <n v="900"/>
    <x v="3"/>
    <n v="7500"/>
    <n v="4500"/>
    <n v="3000"/>
    <n v="0.4"/>
    <x v="2"/>
  </r>
  <r>
    <n v="10044"/>
    <d v="2024-03-16T00:00:00"/>
    <n v="45367"/>
    <s v="KISUMU"/>
    <x v="3"/>
    <s v="  Mercy Njeri"/>
    <x v="3"/>
    <s v="P014"/>
    <s v="LED Bulb 9W (Pack of 4)"/>
    <x v="9"/>
    <n v="4"/>
    <n v="4"/>
    <n v="730"/>
    <n v="730"/>
    <s v=""/>
    <s v=""/>
    <n v="480"/>
    <x v="3"/>
    <n v="2920"/>
    <n v="1920"/>
    <n v="1000"/>
    <n v="0.34246575342465752"/>
    <x v="1"/>
  </r>
  <r>
    <n v="10213"/>
    <d v="2024-02-11T00:00:00"/>
    <n v="45333"/>
    <s v="Nairobi"/>
    <x v="5"/>
    <s v="John Mwangi"/>
    <x v="7"/>
    <s v="P003"/>
    <s v="RECHARGEABLE TORCH RT-10"/>
    <x v="8"/>
    <n v="15"/>
    <n v="15"/>
    <n v="950"/>
    <n v="950"/>
    <s v=""/>
    <s v=""/>
    <n v="600"/>
    <x v="3"/>
    <n v="14250"/>
    <n v="9000"/>
    <n v="5250"/>
    <n v="0.36842105263157893"/>
    <x v="2"/>
  </r>
  <r>
    <n v="10003"/>
    <d v="2024-02-13T00:00:00"/>
    <n v="45335"/>
    <s v="Nairobi"/>
    <x v="5"/>
    <s v="Grace Achieng"/>
    <x v="2"/>
    <s v="P007"/>
    <s v="MOSQUITO NET - FAMILY SIZE"/>
    <x v="10"/>
    <n v="2"/>
    <n v="2"/>
    <n v="650"/>
    <n v="650"/>
    <s v=""/>
    <s v=""/>
    <n v="400"/>
    <x v="1"/>
    <n v="1300"/>
    <n v="800"/>
    <n v="500"/>
    <n v="0.38461538461538464"/>
    <x v="2"/>
  </r>
  <r>
    <n v="10284"/>
    <d v="2024-03-07T00:00:00"/>
    <n v="45358"/>
    <s v="Thika"/>
    <x v="4"/>
    <s v="Samuel Kiptoo"/>
    <x v="5"/>
    <s v="P014"/>
    <s v="LED Bulb 9W (Pack of 4)"/>
    <x v="9"/>
    <n v="5"/>
    <n v="5"/>
    <n v="880"/>
    <n v="880"/>
    <s v=""/>
    <s v=""/>
    <n v="480"/>
    <x v="3"/>
    <n v="4400"/>
    <n v="2400"/>
    <n v="2000"/>
    <n v="0.45454545454545453"/>
    <x v="1"/>
  </r>
  <r>
    <n v="10125"/>
    <s v="18/01/2024"/>
    <n v="45309"/>
    <s v="Thika "/>
    <x v="4"/>
    <s v="Mercy Njeri  "/>
    <x v="3"/>
    <s v="P013"/>
    <s v="Kitchen Knife Set"/>
    <x v="0"/>
    <n v="10"/>
    <n v="10"/>
    <n v="1400"/>
    <n v="1400"/>
    <s v=""/>
    <s v=""/>
    <n v="800"/>
    <x v="0"/>
    <n v="14000"/>
    <n v="8000"/>
    <n v="6000"/>
    <n v="0.42857142857142855"/>
    <x v="0"/>
  </r>
  <r>
    <n v="10173"/>
    <d v="2024-03-16T00:00:00"/>
    <n v="45367"/>
    <s v="nakuru"/>
    <x v="1"/>
    <s v="Brian Mutua"/>
    <x v="6"/>
    <s v="P001"/>
    <s v="20L Jerrycan - Blue"/>
    <x v="1"/>
    <n v="4"/>
    <n v="4"/>
    <n v="550"/>
    <n v="550"/>
    <s v=""/>
    <s v=""/>
    <n v="350"/>
    <x v="1"/>
    <n v="2200"/>
    <n v="1400"/>
    <n v="800"/>
    <n v="0.36363636363636365"/>
    <x v="1"/>
  </r>
  <r>
    <n v="10312"/>
    <d v="2024-01-03T00:00:00"/>
    <n v="45294"/>
    <s v="mombasa"/>
    <x v="0"/>
    <s v="  Faith Wanjiru"/>
    <x v="1"/>
    <s v="P011"/>
    <s v="PADLOCK SET (3PC)"/>
    <x v="5"/>
    <n v="5"/>
    <n v="5"/>
    <n v="650"/>
    <n v="650"/>
    <s v=""/>
    <s v=""/>
    <n v="450"/>
    <x v="2"/>
    <n v="3250"/>
    <n v="2250"/>
    <n v="1000"/>
    <n v="0.30769230769230771"/>
    <x v="0"/>
  </r>
  <r>
    <n v="10115"/>
    <d v="2024-11-03T00:00:00"/>
    <n v="45599"/>
    <s v="mombasa"/>
    <x v="0"/>
    <s v="Grace Achieng"/>
    <x v="2"/>
    <s v="P002"/>
    <s v="Solar Lantern SL-200"/>
    <x v="11"/>
    <n v="5"/>
    <n v="5"/>
    <n v="1500"/>
    <n v="1500"/>
    <s v=""/>
    <s v=""/>
    <n v="900"/>
    <x v="3"/>
    <n v="7500"/>
    <n v="4500"/>
    <n v="3000"/>
    <n v="0.4"/>
    <x v="4"/>
  </r>
  <r>
    <n v="10291"/>
    <d v="2024-03-02T00:00:00"/>
    <n v="45353"/>
    <s v="nakuru"/>
    <x v="1"/>
    <s v="Mercy Njeri"/>
    <x v="3"/>
    <s v="P010"/>
    <s v="Wheelbarrow Heavy Duty"/>
    <x v="13"/>
    <n v="15"/>
    <n v="15"/>
    <n v="5150"/>
    <n v="5150"/>
    <s v=""/>
    <s v=""/>
    <n v="3500"/>
    <x v="2"/>
    <n v="77250"/>
    <n v="52500"/>
    <n v="24750"/>
    <n v="0.32038834951456313"/>
    <x v="1"/>
  </r>
  <r>
    <n v="10234"/>
    <d v="2024-03-25T00:00:00"/>
    <n v="45376"/>
    <s v="KISUMU"/>
    <x v="3"/>
    <s v="Samuel Kiptoo"/>
    <x v="5"/>
    <s v="P005"/>
    <s v="Non-Stick Frying Pan 28cm"/>
    <x v="14"/>
    <n v="20"/>
    <n v="20"/>
    <n v="1050"/>
    <n v="1050"/>
    <s v=""/>
    <s v=""/>
    <n v="700"/>
    <x v="0"/>
    <n v="21000"/>
    <n v="14000"/>
    <n v="7000"/>
    <n v="0.33333333333333331"/>
    <x v="1"/>
  </r>
  <r>
    <n v="10335"/>
    <d v="2024-03-23T00:00:00"/>
    <n v="45374"/>
    <s v=" Kisumu"/>
    <x v="3"/>
    <s v="John Mwangi"/>
    <x v="7"/>
    <s v="P012"/>
    <s v="Garden Hose 20m"/>
    <x v="4"/>
    <n v="15"/>
    <n v="15"/>
    <n v="1750"/>
    <n v="1750"/>
    <s v=""/>
    <s v=""/>
    <n v="1100"/>
    <x v="2"/>
    <n v="26250"/>
    <n v="16500"/>
    <n v="9750"/>
    <n v="0.37142857142857144"/>
    <x v="1"/>
  </r>
  <r>
    <n v="10041"/>
    <d v="2024-01-21T00:00:00"/>
    <n v="45312"/>
    <s v="KISUMU"/>
    <x v="3"/>
    <s v="Grace Achieng"/>
    <x v="2"/>
    <s v="P010"/>
    <s v="Wheelbarrow - Heavy Duty"/>
    <x v="15"/>
    <n v="1"/>
    <n v="1"/>
    <n v="5200"/>
    <n v="5200"/>
    <s v=""/>
    <s v=""/>
    <n v="3500"/>
    <x v="2"/>
    <n v="5200"/>
    <n v="3500"/>
    <n v="1700"/>
    <n v="0.32692307692307693"/>
    <x v="0"/>
  </r>
  <r>
    <n v="10093"/>
    <d v="2024-06-02T00:00:00"/>
    <n v="45445"/>
    <s v="Nairobi"/>
    <x v="5"/>
    <s v="Grace Achieng"/>
    <x v="2"/>
    <s v="P010"/>
    <s v="Wheelbarrow - Heavy Duty"/>
    <x v="15"/>
    <n v="15"/>
    <n v="15"/>
    <n v="5300"/>
    <n v="5300"/>
    <s v=""/>
    <s v=""/>
    <n v="3500"/>
    <x v="2"/>
    <n v="79500"/>
    <n v="52500"/>
    <n v="27000"/>
    <n v="0.33962264150943394"/>
    <x v="5"/>
  </r>
  <r>
    <n v="10018"/>
    <d v="2024-06-03T00:00:00"/>
    <n v="45446"/>
    <s v="Nairobi"/>
    <x v="5"/>
    <s v="Peter Otieno"/>
    <x v="0"/>
    <s v="P002"/>
    <s v="Solar Lantern SL-200"/>
    <x v="11"/>
    <n v="15"/>
    <n v="15"/>
    <n v="1400"/>
    <n v="1400"/>
    <s v=""/>
    <s v=""/>
    <n v="900"/>
    <x v="3"/>
    <n v="21000"/>
    <n v="13500"/>
    <n v="7500"/>
    <n v="0.35714285714285715"/>
    <x v="5"/>
  </r>
  <r>
    <n v="10209"/>
    <d v="2024-02-15T00:00:00"/>
    <n v="45337"/>
    <m/>
    <x v="6"/>
    <s v="aisha hassan"/>
    <x v="4"/>
    <s v="P006"/>
    <s v="Plastic Storage Basket (L)"/>
    <x v="16"/>
    <n v="15"/>
    <n v="15"/>
    <n v="520"/>
    <n v="520"/>
    <s v=""/>
    <s v=""/>
    <n v="250"/>
    <x v="1"/>
    <n v="7800"/>
    <n v="3750"/>
    <n v="4050"/>
    <n v="0.51923076923076927"/>
    <x v="2"/>
  </r>
  <r>
    <n v="10298"/>
    <d v="2024-03-07T00:00:00"/>
    <n v="45358"/>
    <s v="Nairobi"/>
    <x v="5"/>
    <s v="Grace Achieng"/>
    <x v="2"/>
    <s v="P015"/>
    <s v="Water Dispenser Stand "/>
    <x v="2"/>
    <n v="2"/>
    <n v="2"/>
    <n v="2400"/>
    <n v="2400"/>
    <s v=""/>
    <s v=""/>
    <n v="1500"/>
    <x v="1"/>
    <n v="4800"/>
    <n v="3000"/>
    <n v="1800"/>
    <n v="0.375"/>
    <x v="1"/>
  </r>
  <r>
    <n v="10080"/>
    <d v="2024-03-05T00:00:00"/>
    <n v="45356"/>
    <s v="Eldoret"/>
    <x v="2"/>
    <s v="Brian Mutua"/>
    <x v="6"/>
    <s v="P002"/>
    <s v="solar lantern sl-200 "/>
    <x v="11"/>
    <n v="2"/>
    <n v="2"/>
    <n v="1550"/>
    <n v="1550"/>
    <s v=""/>
    <s v=""/>
    <n v="900"/>
    <x v="3"/>
    <n v="3100"/>
    <n v="1800"/>
    <n v="1300"/>
    <n v="0.41935483870967744"/>
    <x v="1"/>
  </r>
  <r>
    <n v="10099"/>
    <d v="2024-03-27T00:00:00"/>
    <n v="45378"/>
    <s v=" Thika"/>
    <x v="4"/>
    <s v="Faith Wanjiru  "/>
    <x v="1"/>
    <s v="P008"/>
    <s v="USB Wall Charger UC-5"/>
    <x v="6"/>
    <n v="15"/>
    <n v="15"/>
    <n v="500"/>
    <n v="500"/>
    <s v=""/>
    <s v=""/>
    <n v="300"/>
    <x v="3"/>
    <n v="7500"/>
    <n v="4500"/>
    <n v="3000"/>
    <n v="0.4"/>
    <x v="1"/>
  </r>
  <r>
    <n v="10012"/>
    <d v="2024-01-28T00:00:00"/>
    <n v="45319"/>
    <s v="Eldoret"/>
    <x v="2"/>
    <s v="Faith Wanjiru"/>
    <x v="1"/>
    <s v="P012"/>
    <s v="Garden Hose 20m"/>
    <x v="4"/>
    <n v="5"/>
    <n v="5"/>
    <n v="1750"/>
    <n v="1750"/>
    <s v=""/>
    <s v=""/>
    <n v="1100"/>
    <x v="2"/>
    <n v="8750"/>
    <n v="5500"/>
    <n v="3250"/>
    <n v="0.37142857142857144"/>
    <x v="0"/>
  </r>
  <r>
    <n v="10246"/>
    <d v="2024-01-21T00:00:00"/>
    <n v="45312"/>
    <s v="Nairobi"/>
    <x v="5"/>
    <s v="aisha hassan"/>
    <x v="4"/>
    <s v="P015"/>
    <s v="Water Dispenser Stand"/>
    <x v="2"/>
    <n v="4"/>
    <n v="4"/>
    <m/>
    <n v="0"/>
    <s v=""/>
    <s v=""/>
    <n v="1500"/>
    <x v="1"/>
    <n v="0"/>
    <n v="6000"/>
    <n v="-6000"/>
    <n v="0"/>
    <x v="0"/>
  </r>
  <r>
    <n v="10097"/>
    <d v="2024-03-23T00:00:00"/>
    <n v="45374"/>
    <s v="KISUMU"/>
    <x v="3"/>
    <s v="  Peter Otieno"/>
    <x v="0"/>
    <s v="P011"/>
    <s v="PADLOCK SET (3PC)"/>
    <x v="5"/>
    <n v="20"/>
    <n v="20"/>
    <n v="800"/>
    <n v="800"/>
    <s v=""/>
    <s v=""/>
    <n v="450"/>
    <x v="2"/>
    <n v="16000"/>
    <n v="9000"/>
    <n v="7000"/>
    <n v="0.4375"/>
    <x v="1"/>
  </r>
  <r>
    <n v="10337"/>
    <d v="2024-01-12T00:00:00"/>
    <n v="45303"/>
    <s v=" Mombasa"/>
    <x v="0"/>
    <s v="  Brian Mutua"/>
    <x v="6"/>
    <s v="P005"/>
    <s v="Non-Stick Frying Pan 28cm"/>
    <x v="14"/>
    <n v="8"/>
    <n v="8"/>
    <n v="1100"/>
    <n v="1100"/>
    <s v=""/>
    <s v=""/>
    <n v="700"/>
    <x v="0"/>
    <n v="8800"/>
    <n v="5600"/>
    <n v="3200"/>
    <n v="0.36363636363636365"/>
    <x v="0"/>
  </r>
  <r>
    <n v="10330"/>
    <d v="2024-03-21T00:00:00"/>
    <n v="45372"/>
    <s v="mombasa"/>
    <x v="0"/>
    <s v="  Brian Mutua"/>
    <x v="6"/>
    <s v="P012"/>
    <s v="Garden Hose 20m"/>
    <x v="4"/>
    <n v="2"/>
    <n v="2"/>
    <n v="1800"/>
    <n v="1800"/>
    <s v=""/>
    <s v=""/>
    <n v="1100"/>
    <x v="2"/>
    <n v="3600"/>
    <n v="2200"/>
    <n v="1400"/>
    <n v="0.3888888888888889"/>
    <x v="1"/>
  </r>
  <r>
    <n v="10151"/>
    <d v="2024-02-10T00:00:00"/>
    <n v="45332"/>
    <s v="Mombasa "/>
    <x v="0"/>
    <s v="Mercy Njeri"/>
    <x v="3"/>
    <s v="P006"/>
    <s v="Plastic Storage Basket (L)"/>
    <x v="16"/>
    <n v="8"/>
    <n v="8"/>
    <n v="370"/>
    <n v="370"/>
    <s v=""/>
    <s v=""/>
    <n v="250"/>
    <x v="1"/>
    <n v="2960"/>
    <n v="2000"/>
    <n v="960"/>
    <n v="0.32432432432432434"/>
    <x v="2"/>
  </r>
  <r>
    <n v="10264"/>
    <d v="2024-01-31T00:00:00"/>
    <n v="45322"/>
    <s v="Eldoret"/>
    <x v="2"/>
    <s v="Samuel Kiptoo"/>
    <x v="5"/>
    <s v="P012"/>
    <s v="Garden Hose 20m"/>
    <x v="4"/>
    <n v="20"/>
    <n v="20"/>
    <n v="1650"/>
    <n v="1650"/>
    <s v=""/>
    <s v=""/>
    <n v="1100"/>
    <x v="2"/>
    <n v="33000"/>
    <n v="22000"/>
    <n v="11000"/>
    <n v="0.33333333333333331"/>
    <x v="0"/>
  </r>
  <r>
    <n v="10280"/>
    <d v="2024-03-02T00:00:00"/>
    <n v="45353"/>
    <s v="Thika"/>
    <x v="4"/>
    <s v="Grace Achieng"/>
    <x v="2"/>
    <s v="P012"/>
    <s v="Garden Hose 20m"/>
    <x v="4"/>
    <n v="2"/>
    <n v="2"/>
    <n v="1650"/>
    <n v="1650"/>
    <s v=""/>
    <s v=""/>
    <n v="1100"/>
    <x v="2"/>
    <n v="3300"/>
    <n v="2200"/>
    <n v="1100"/>
    <n v="0.33333333333333331"/>
    <x v="1"/>
  </r>
  <r>
    <n v="10072"/>
    <s v="14/01/2024"/>
    <n v="45305"/>
    <s v="Thika"/>
    <x v="4"/>
    <s v="Faith Wanjiru"/>
    <x v="1"/>
    <s v="P008"/>
    <s v="USB Wall Charger UC-5"/>
    <x v="6"/>
    <n v="1"/>
    <n v="1"/>
    <n v="600"/>
    <n v="600"/>
    <s v=""/>
    <s v=""/>
    <n v="300"/>
    <x v="3"/>
    <n v="600"/>
    <n v="300"/>
    <n v="300"/>
    <n v="0.5"/>
    <x v="0"/>
  </r>
  <r>
    <n v="10077"/>
    <d v="2024-03-25T00:00:00"/>
    <n v="45376"/>
    <s v=" Nairobi"/>
    <x v="5"/>
    <s v="Peter Otieno"/>
    <x v="0"/>
    <s v="P001"/>
    <s v="20L Jerrycan - Blue"/>
    <x v="1"/>
    <n v="6"/>
    <n v="6"/>
    <m/>
    <n v="0"/>
    <s v=""/>
    <s v=""/>
    <n v="350"/>
    <x v="1"/>
    <n v="0"/>
    <n v="2100"/>
    <n v="-2100"/>
    <n v="0"/>
    <x v="1"/>
  </r>
  <r>
    <n v="10201"/>
    <s v="19/01/2024"/>
    <n v="45310"/>
    <s v="Thika"/>
    <x v="4"/>
    <s v="Samuel Kiptoo"/>
    <x v="5"/>
    <s v="P002"/>
    <s v="Solar Lantern SL-200"/>
    <x v="11"/>
    <n v="1"/>
    <n v="1"/>
    <n v="1450"/>
    <n v="1450"/>
    <s v=""/>
    <s v=""/>
    <n v="900"/>
    <x v="3"/>
    <n v="1450"/>
    <n v="900"/>
    <n v="550"/>
    <n v="0.37931034482758619"/>
    <x v="0"/>
  </r>
  <r>
    <n v="10204"/>
    <d v="2024-03-28T00:00:00"/>
    <n v="45379"/>
    <s v="KISUMU"/>
    <x v="3"/>
    <s v="John Mwangi"/>
    <x v="7"/>
    <s v="P004"/>
    <s v="Cooking Gas Burner CB-2"/>
    <x v="12"/>
    <n v="6"/>
    <n v="6"/>
    <n v="1850"/>
    <n v="1850"/>
    <s v=""/>
    <s v=""/>
    <n v="1200"/>
    <x v="0"/>
    <n v="11100"/>
    <n v="7200"/>
    <n v="3900"/>
    <n v="0.35135135135135137"/>
    <x v="1"/>
  </r>
  <r>
    <n v="10176"/>
    <d v="2024-03-22T00:00:00"/>
    <n v="45373"/>
    <s v="Eldoret"/>
    <x v="2"/>
    <s v="Peter Otieno"/>
    <x v="0"/>
    <s v="P009"/>
    <s v="Thermos Flask 1L"/>
    <x v="17"/>
    <n v="3"/>
    <n v="3"/>
    <n v="950"/>
    <n v="950"/>
    <s v=""/>
    <s v=""/>
    <n v="550"/>
    <x v="0"/>
    <n v="2850"/>
    <n v="1650"/>
    <n v="1200"/>
    <n v="0.42105263157894735"/>
    <x v="1"/>
  </r>
  <r>
    <n v="10059"/>
    <d v="2024-02-07T00:00:00"/>
    <n v="45329"/>
    <s v="Eldoret"/>
    <x v="2"/>
    <s v="Samuel Kiptoo"/>
    <x v="5"/>
    <s v="P007"/>
    <s v="MOSQUITO NET - FAMILY SIZE"/>
    <x v="10"/>
    <n v="10"/>
    <n v="10"/>
    <n v="700"/>
    <n v="700"/>
    <s v=""/>
    <s v=""/>
    <n v="400"/>
    <x v="1"/>
    <n v="7000"/>
    <n v="4000"/>
    <n v="3000"/>
    <n v="0.42857142857142855"/>
    <x v="2"/>
  </r>
  <r>
    <n v="10002"/>
    <d v="2024-01-04T00:00:00"/>
    <n v="45295"/>
    <s v="Eldoret"/>
    <x v="2"/>
    <s v="  Faith Wanjiru"/>
    <x v="1"/>
    <s v="P012"/>
    <s v="Garden Hose 20m"/>
    <x v="4"/>
    <n v="20"/>
    <n v="20"/>
    <n v="1800"/>
    <n v="1800"/>
    <s v=""/>
    <s v=""/>
    <n v="1100"/>
    <x v="2"/>
    <n v="36000"/>
    <n v="22000"/>
    <n v="14000"/>
    <n v="0.3888888888888889"/>
    <x v="0"/>
  </r>
  <r>
    <n v="10189"/>
    <s v="14/02/2024"/>
    <n v="45336"/>
    <s v="nakuru"/>
    <x v="1"/>
    <s v="Mercy Njeri"/>
    <x v="3"/>
    <s v="P013"/>
    <s v="Kitchen Knife Set"/>
    <x v="0"/>
    <n v="3"/>
    <n v="3"/>
    <n v="1300"/>
    <n v="1300"/>
    <s v=""/>
    <s v=""/>
    <n v="800"/>
    <x v="0"/>
    <n v="3900"/>
    <n v="2400"/>
    <n v="1500"/>
    <n v="0.38461538461538464"/>
    <x v="2"/>
  </r>
  <r>
    <n v="10001"/>
    <d v="2024-03-22T00:00:00"/>
    <n v="45373"/>
    <s v="Nairobi"/>
    <x v="5"/>
    <s v="John Mwangi"/>
    <x v="7"/>
    <s v="P012"/>
    <s v="Garden Hose 20m"/>
    <x v="4"/>
    <n v="5"/>
    <n v="5"/>
    <n v="1700"/>
    <n v="1700"/>
    <s v=""/>
    <s v=""/>
    <n v="1100"/>
    <x v="2"/>
    <n v="8500"/>
    <n v="5500"/>
    <n v="3000"/>
    <n v="0.35294117647058826"/>
    <x v="1"/>
  </r>
  <r>
    <n v="10026"/>
    <d v="2024-02-05T00:00:00"/>
    <n v="45327"/>
    <s v="Nairobi"/>
    <x v="5"/>
    <s v="Samuel Kiptoo"/>
    <x v="5"/>
    <s v="P006"/>
    <s v="Plastic Storage Basket (L)"/>
    <x v="16"/>
    <n v="20"/>
    <n v="20"/>
    <n v="520"/>
    <n v="520"/>
    <s v=""/>
    <s v=""/>
    <n v="250"/>
    <x v="1"/>
    <n v="10400"/>
    <n v="5000"/>
    <n v="5400"/>
    <n v="0.51923076923076927"/>
    <x v="2"/>
  </r>
  <r>
    <n v="10281"/>
    <d v="2024-03-01T00:00:00"/>
    <n v="45352"/>
    <s v="Thika "/>
    <x v="4"/>
    <s v="Peter Otieno  "/>
    <x v="0"/>
    <s v="P006"/>
    <s v="Plastic Storage Basket L"/>
    <x v="3"/>
    <n v="8"/>
    <n v="8"/>
    <n v="420"/>
    <n v="420"/>
    <s v=""/>
    <s v=""/>
    <n v="250"/>
    <x v="1"/>
    <n v="3360"/>
    <n v="2000"/>
    <n v="1360"/>
    <n v="0.40476190476190477"/>
    <x v="1"/>
  </r>
  <r>
    <n v="10145"/>
    <d v="2024-06-01T00:00:00"/>
    <n v="45444"/>
    <s v="nakuru"/>
    <x v="1"/>
    <s v="aisha hassan"/>
    <x v="4"/>
    <s v="P004"/>
    <s v="Cooking Gas Burner CB-2"/>
    <x v="12"/>
    <n v="12"/>
    <n v="12"/>
    <n v="1850"/>
    <n v="1850"/>
    <s v=""/>
    <s v=""/>
    <n v="1200"/>
    <x v="0"/>
    <n v="22200"/>
    <n v="14400"/>
    <n v="7800"/>
    <n v="0.35135135135135137"/>
    <x v="5"/>
  </r>
  <r>
    <n v="10141"/>
    <d v="2024-01-03T00:00:00"/>
    <n v="45294"/>
    <s v="nakuru"/>
    <x v="1"/>
    <s v="  Samuel Kiptoo"/>
    <x v="5"/>
    <s v="P014"/>
    <s v="LED Bulb 9W (Pack of 4)"/>
    <x v="9"/>
    <n v="1"/>
    <n v="1"/>
    <n v="780"/>
    <n v="780"/>
    <s v=""/>
    <s v=""/>
    <n v="480"/>
    <x v="3"/>
    <n v="780"/>
    <n v="480"/>
    <n v="300"/>
    <n v="0.38461538461538464"/>
    <x v="0"/>
  </r>
  <r>
    <n v="10179"/>
    <d v="2024-02-24T00:00:00"/>
    <n v="45346"/>
    <s v="Nairobi"/>
    <x v="5"/>
    <s v="Faith Wanjiru"/>
    <x v="1"/>
    <s v="P005"/>
    <s v="Non-Stick Frying Pan 28cm"/>
    <x v="14"/>
    <n v="1"/>
    <n v="1"/>
    <n v="1150"/>
    <n v="1150"/>
    <s v=""/>
    <s v=""/>
    <n v="700"/>
    <x v="0"/>
    <n v="1150"/>
    <n v="700"/>
    <n v="450"/>
    <n v="0.39130434782608697"/>
    <x v="2"/>
  </r>
  <r>
    <n v="10295"/>
    <d v="2024-07-01T00:00:00"/>
    <n v="45474"/>
    <s v="mombasa"/>
    <x v="0"/>
    <s v="Brian Mutua"/>
    <x v="6"/>
    <s v="P011"/>
    <s v="PADLOCK SET (3PC)"/>
    <x v="5"/>
    <n v="1"/>
    <n v="1"/>
    <n v="650"/>
    <n v="650"/>
    <s v=""/>
    <s v=""/>
    <n v="450"/>
    <x v="2"/>
    <n v="650"/>
    <n v="450"/>
    <n v="200"/>
    <n v="0.30769230769230771"/>
    <x v="6"/>
  </r>
  <r>
    <n v="10112"/>
    <d v="2024-01-10T00:00:00"/>
    <n v="45301"/>
    <s v="Eldoret"/>
    <x v="2"/>
    <s v="Peter Otieno  "/>
    <x v="0"/>
    <s v="P009"/>
    <s v="Thermos Flask 1L"/>
    <x v="17"/>
    <n v="6"/>
    <n v="6"/>
    <n v="950"/>
    <n v="950"/>
    <s v=""/>
    <s v=""/>
    <n v="550"/>
    <x v="0"/>
    <n v="5700"/>
    <n v="3300"/>
    <n v="2400"/>
    <n v="0.42105263157894735"/>
    <x v="0"/>
  </r>
  <r>
    <n v="10086"/>
    <d v="2024-01-11T00:00:00"/>
    <n v="45302"/>
    <s v="KISUMU"/>
    <x v="3"/>
    <s v="Aisha Hassan  "/>
    <x v="4"/>
    <s v="P011"/>
    <s v="Padlock Set (3pc) "/>
    <x v="5"/>
    <n v="8"/>
    <n v="8"/>
    <n v="750"/>
    <n v="750"/>
    <s v=""/>
    <s v=""/>
    <n v="450"/>
    <x v="2"/>
    <n v="6000"/>
    <n v="3600"/>
    <n v="2400"/>
    <n v="0.4"/>
    <x v="0"/>
  </r>
  <r>
    <n v="10040"/>
    <s v="20/01/2024"/>
    <n v="45311"/>
    <s v="mombasa"/>
    <x v="0"/>
    <s v="Peter Otieno"/>
    <x v="0"/>
    <s v="P008"/>
    <s v="USB Wall Charger UC-5"/>
    <x v="6"/>
    <n v="20"/>
    <n v="20"/>
    <n v="450"/>
    <n v="450"/>
    <s v=""/>
    <s v=""/>
    <n v="300"/>
    <x v="3"/>
    <n v="9000"/>
    <n v="6000"/>
    <n v="3000"/>
    <n v="0.33333333333333331"/>
    <x v="0"/>
  </r>
  <r>
    <n v="10054"/>
    <d v="2024-02-04T00:00:00"/>
    <n v="45326"/>
    <s v="Eldoret"/>
    <x v="2"/>
    <s v="aisha hassan"/>
    <x v="4"/>
    <s v="P008"/>
    <s v="USB Wall Charger UC-5 "/>
    <x v="6"/>
    <n v="2"/>
    <n v="2"/>
    <n v="600"/>
    <n v="600"/>
    <s v=""/>
    <s v=""/>
    <n v="300"/>
    <x v="3"/>
    <n v="1200"/>
    <n v="600"/>
    <n v="600"/>
    <n v="0.5"/>
    <x v="2"/>
  </r>
  <r>
    <n v="10133"/>
    <d v="2024-02-22T00:00:00"/>
    <n v="45344"/>
    <s v="Thika"/>
    <x v="4"/>
    <s v="aisha hassan"/>
    <x v="4"/>
    <s v="P008"/>
    <s v="USB Wall Charger UC-5"/>
    <x v="6"/>
    <n v="20"/>
    <n v="20"/>
    <n v="500"/>
    <n v="500"/>
    <s v=""/>
    <s v=""/>
    <n v="300"/>
    <x v="3"/>
    <n v="10000"/>
    <n v="6000"/>
    <n v="4000"/>
    <n v="0.4"/>
    <x v="2"/>
  </r>
  <r>
    <n v="10105"/>
    <s v="16/02/2024"/>
    <n v="45338"/>
    <s v="Nairobi"/>
    <x v="5"/>
    <s v="John Mwangi"/>
    <x v="7"/>
    <s v="P007"/>
    <s v="MOSQUITO NET - FAMILY SIZE"/>
    <x v="10"/>
    <n v="10"/>
    <n v="10"/>
    <n v="600"/>
    <n v="600"/>
    <s v=""/>
    <s v=""/>
    <n v="400"/>
    <x v="1"/>
    <n v="6000"/>
    <n v="4000"/>
    <n v="2000"/>
    <n v="0.33333333333333331"/>
    <x v="2"/>
  </r>
  <r>
    <n v="10019"/>
    <d v="2024-03-25T00:00:00"/>
    <n v="45376"/>
    <s v="Eldoret"/>
    <x v="2"/>
    <s v="Mercy Njeri"/>
    <x v="3"/>
    <s v="P015"/>
    <s v="Water Dispenser Stand"/>
    <x v="2"/>
    <n v="5"/>
    <n v="5"/>
    <n v="2300"/>
    <n v="2300"/>
    <s v=""/>
    <s v=""/>
    <n v="1500"/>
    <x v="1"/>
    <n v="11500"/>
    <n v="7500"/>
    <n v="4000"/>
    <n v="0.34782608695652173"/>
    <x v="1"/>
  </r>
  <r>
    <n v="10136"/>
    <d v="2024-03-27T00:00:00"/>
    <n v="45378"/>
    <s v="mombasa"/>
    <x v="0"/>
    <s v="Peter Otieno"/>
    <x v="0"/>
    <s v="P010"/>
    <s v="Wheelbarrow - Heavy Duty"/>
    <x v="15"/>
    <n v="20"/>
    <n v="20"/>
    <n v="5250"/>
    <n v="5250"/>
    <s v=""/>
    <s v=""/>
    <n v="3500"/>
    <x v="2"/>
    <n v="105000"/>
    <n v="70000"/>
    <n v="35000"/>
    <n v="0.33333333333333331"/>
    <x v="1"/>
  </r>
  <r>
    <n v="10020"/>
    <d v="2024-01-13T00:00:00"/>
    <n v="45304"/>
    <s v="Nairobi"/>
    <x v="5"/>
    <s v="Faith Wanjiru"/>
    <x v="1"/>
    <s v="P009"/>
    <s v="Thermos Flask 1L"/>
    <x v="17"/>
    <n v="5"/>
    <n v="5"/>
    <n v="900"/>
    <n v="900"/>
    <s v=""/>
    <s v=""/>
    <n v="550"/>
    <x v="0"/>
    <n v="4500"/>
    <n v="2750"/>
    <n v="1750"/>
    <n v="0.3888888888888889"/>
    <x v="0"/>
  </r>
  <r>
    <n v="10085"/>
    <d v="2024-03-08T00:00:00"/>
    <n v="45359"/>
    <s v="mombasa"/>
    <x v="0"/>
    <s v="Brian Mutua"/>
    <x v="6"/>
    <s v="P007"/>
    <s v="Mosquito Net - Family Size "/>
    <x v="10"/>
    <n v="10"/>
    <n v="10"/>
    <n v="650"/>
    <n v="650"/>
    <s v=""/>
    <s v=""/>
    <n v="400"/>
    <x v="1"/>
    <n v="6500"/>
    <n v="4000"/>
    <n v="2500"/>
    <n v="0.38461538461538464"/>
    <x v="1"/>
  </r>
  <r>
    <n v="10073"/>
    <d v="2024-06-01T00:00:00"/>
    <n v="45444"/>
    <s v="Nairobi"/>
    <x v="5"/>
    <s v="Samuel Kiptoo"/>
    <x v="5"/>
    <s v="P008"/>
    <s v="USB Wall Charger UC-5"/>
    <x v="6"/>
    <n v="2"/>
    <n v="2"/>
    <n v="450"/>
    <n v="450"/>
    <s v=""/>
    <s v=""/>
    <n v="300"/>
    <x v="3"/>
    <n v="900"/>
    <n v="600"/>
    <n v="300"/>
    <n v="0.33333333333333331"/>
    <x v="5"/>
  </r>
  <r>
    <n v="10149"/>
    <d v="2024-02-04T00:00:00"/>
    <n v="45326"/>
    <s v="nakuru"/>
    <x v="1"/>
    <s v="John Mwangi"/>
    <x v="7"/>
    <s v="P014"/>
    <s v="LED Bulb 9W (Pack of 4)"/>
    <x v="9"/>
    <n v="2"/>
    <n v="2"/>
    <n v="780"/>
    <n v="780"/>
    <s v=""/>
    <s v=""/>
    <n v="480"/>
    <x v="3"/>
    <n v="1560"/>
    <n v="960"/>
    <n v="600"/>
    <n v="0.38461538461538464"/>
    <x v="2"/>
  </r>
  <r>
    <n v="10022"/>
    <d v="2024-03-02T00:00:00"/>
    <n v="45353"/>
    <s v="Eldoret"/>
    <x v="2"/>
    <s v="  Aisha Hassan"/>
    <x v="4"/>
    <s v="P005"/>
    <s v="Non-Stick Frying Pan 28cm "/>
    <x v="14"/>
    <n v="1"/>
    <n v="1"/>
    <n v="1050"/>
    <n v="1050"/>
    <s v=""/>
    <s v=""/>
    <n v="700"/>
    <x v="0"/>
    <n v="1050"/>
    <n v="700"/>
    <n v="350"/>
    <n v="0.33333333333333331"/>
    <x v="1"/>
  </r>
  <r>
    <n v="10006"/>
    <d v="2024-01-08T00:00:00"/>
    <n v="45299"/>
    <s v="mombasa"/>
    <x v="0"/>
    <s v="John Mwangi"/>
    <x v="7"/>
    <s v="P013"/>
    <s v="Kitchen Knife Set"/>
    <x v="0"/>
    <n v="6"/>
    <n v="6"/>
    <n v="1350"/>
    <n v="1350"/>
    <s v=""/>
    <s v=""/>
    <n v="800"/>
    <x v="0"/>
    <n v="8100"/>
    <n v="4800"/>
    <n v="3300"/>
    <n v="0.40740740740740738"/>
    <x v="0"/>
  </r>
  <r>
    <n v="10314"/>
    <d v="2024-03-10T00:00:00"/>
    <n v="45361"/>
    <s v="KISUMU"/>
    <x v="3"/>
    <s v="aisha hassan"/>
    <x v="4"/>
    <s v="P003"/>
    <s v="RECHARGEABLE TORCH RT-10"/>
    <x v="8"/>
    <n v="12"/>
    <n v="12"/>
    <n v="950"/>
    <n v="950"/>
    <s v=""/>
    <s v=""/>
    <n v="600"/>
    <x v="3"/>
    <n v="11400"/>
    <n v="7200"/>
    <n v="4200"/>
    <n v="0.36842105263157893"/>
    <x v="1"/>
  </r>
  <r>
    <n v="10247"/>
    <d v="2024-03-06T00:00:00"/>
    <n v="45357"/>
    <s v="Nairobi"/>
    <x v="5"/>
    <s v="Grace Achieng"/>
    <x v="2"/>
    <s v="P015"/>
    <s v="Water Dispenser Stand"/>
    <x v="2"/>
    <n v="5"/>
    <n v="5"/>
    <n v="2300"/>
    <n v="2300"/>
    <s v=""/>
    <s v=""/>
    <n v="1500"/>
    <x v="1"/>
    <n v="11500"/>
    <n v="7500"/>
    <n v="4000"/>
    <n v="0.34782608695652173"/>
    <x v="1"/>
  </r>
  <r>
    <n v="10325"/>
    <d v="2024-03-17T00:00:00"/>
    <n v="45368"/>
    <s v="Eldoret"/>
    <x v="2"/>
    <s v="Peter Otieno"/>
    <x v="0"/>
    <s v="P002"/>
    <s v="solar lantern sl-200 "/>
    <x v="11"/>
    <n v="12"/>
    <n v="12"/>
    <n v="1450"/>
    <n v="1450"/>
    <s v=""/>
    <s v=""/>
    <n v="900"/>
    <x v="3"/>
    <n v="17400"/>
    <n v="10800"/>
    <n v="6600"/>
    <n v="0.37931034482758619"/>
    <x v="1"/>
  </r>
  <r>
    <n v="10283"/>
    <d v="2024-03-03T00:00:00"/>
    <n v="45354"/>
    <s v=" Mombasa"/>
    <x v="0"/>
    <s v="Grace Achieng"/>
    <x v="2"/>
    <s v="P005"/>
    <s v="Non-Stick Frying Pan 28cm"/>
    <x v="14"/>
    <n v="6"/>
    <n v="6"/>
    <n v="1100"/>
    <n v="1100"/>
    <s v=""/>
    <s v=""/>
    <n v="700"/>
    <x v="0"/>
    <n v="6600"/>
    <n v="4200"/>
    <n v="2400"/>
    <n v="0.36363636363636365"/>
    <x v="1"/>
  </r>
  <r>
    <n v="10066"/>
    <d v="2024-03-04T00:00:00"/>
    <n v="45355"/>
    <s v="Eldoret"/>
    <x v="2"/>
    <s v="  Peter Otieno"/>
    <x v="0"/>
    <s v="P004"/>
    <s v="Cooking Gas Burner CB-2"/>
    <x v="12"/>
    <n v="10"/>
    <n v="10"/>
    <n v="1850"/>
    <n v="1850"/>
    <s v=""/>
    <s v=""/>
    <n v="1200"/>
    <x v="0"/>
    <n v="18500"/>
    <n v="12000"/>
    <n v="6500"/>
    <n v="0.35135135135135137"/>
    <x v="1"/>
  </r>
  <r>
    <n v="10120"/>
    <d v="2024-02-10T00:00:00"/>
    <n v="45332"/>
    <s v=" Thika"/>
    <x v="4"/>
    <s v="Mercy Njeri"/>
    <x v="3"/>
    <s v="P012"/>
    <s v="Garden Hose 20m"/>
    <x v="4"/>
    <n v="6"/>
    <n v="6"/>
    <n v="1750"/>
    <n v="1750"/>
    <s v=""/>
    <s v=""/>
    <n v="1100"/>
    <x v="2"/>
    <n v="10500"/>
    <n v="6600"/>
    <n v="3900"/>
    <n v="0.37142857142857144"/>
    <x v="2"/>
  </r>
  <r>
    <n v="10210"/>
    <d v="2024-03-08T00:00:00"/>
    <n v="45359"/>
    <s v="KISUMU"/>
    <x v="3"/>
    <s v="Faith Wanjiru"/>
    <x v="1"/>
    <s v="P003"/>
    <s v="RECHARGEABLE TORCH RT-10"/>
    <x v="8"/>
    <n v="2"/>
    <n v="2"/>
    <n v="950"/>
    <n v="950"/>
    <s v=""/>
    <s v=""/>
    <n v="600"/>
    <x v="3"/>
    <n v="1900"/>
    <n v="1200"/>
    <n v="700"/>
    <n v="0.36842105263157893"/>
    <x v="1"/>
  </r>
  <r>
    <n v="10207"/>
    <d v="2024-02-20T00:00:00"/>
    <n v="45342"/>
    <s v="nakuru"/>
    <x v="1"/>
    <s v="John Mwangi"/>
    <x v="7"/>
    <s v="P007"/>
    <s v="MOSQUITO NET - FAMILY SIZE"/>
    <x v="10"/>
    <n v="20"/>
    <n v="20"/>
    <n v="700"/>
    <n v="700"/>
    <s v=""/>
    <s v=""/>
    <n v="400"/>
    <x v="1"/>
    <n v="14000"/>
    <n v="8000"/>
    <n v="6000"/>
    <n v="0.42857142857142855"/>
    <x v="2"/>
  </r>
  <r>
    <n v="10154"/>
    <d v="2024-03-20T00:00:00"/>
    <n v="45371"/>
    <s v="Thika"/>
    <x v="4"/>
    <s v="aisha hassan"/>
    <x v="4"/>
    <s v="P011"/>
    <s v="PADLOCK SET (3PC)"/>
    <x v="5"/>
    <m/>
    <n v="0"/>
    <n v="650"/>
    <n v="650"/>
    <s v=""/>
    <s v=""/>
    <n v="450"/>
    <x v="2"/>
    <n v="0"/>
    <n v="0"/>
    <n v="0"/>
    <n v="0"/>
    <x v="1"/>
  </r>
  <r>
    <n v="10277"/>
    <d v="2024-02-07T00:00:00"/>
    <n v="45329"/>
    <s v="Thika"/>
    <x v="4"/>
    <s v="Grace Achieng"/>
    <x v="2"/>
    <s v="P005"/>
    <s v="Non-Stick Frying Pan 28cm"/>
    <x v="14"/>
    <n v="2"/>
    <n v="2"/>
    <n v="1100"/>
    <n v="1100"/>
    <s v=""/>
    <s v=""/>
    <n v="700"/>
    <x v="0"/>
    <n v="2200"/>
    <n v="1400"/>
    <n v="800"/>
    <n v="0.36363636363636365"/>
    <x v="2"/>
  </r>
  <r>
    <n v="10161"/>
    <d v="2024-02-18T00:00:00"/>
    <n v="45340"/>
    <s v="Thika"/>
    <x v="4"/>
    <s v="  Peter Otieno"/>
    <x v="0"/>
    <s v="P012"/>
    <s v="Garden Hose 20m"/>
    <x v="4"/>
    <n v="8"/>
    <n v="8"/>
    <n v="1700"/>
    <n v="1700"/>
    <s v=""/>
    <s v=""/>
    <n v="1100"/>
    <x v="2"/>
    <n v="13600"/>
    <n v="8800"/>
    <n v="4800"/>
    <n v="0.35294117647058826"/>
    <x v="2"/>
  </r>
  <r>
    <n v="10262"/>
    <d v="2024-03-26T00:00:00"/>
    <n v="45377"/>
    <s v=" Thika"/>
    <x v="4"/>
    <s v="Brian Mutua"/>
    <x v="6"/>
    <s v="P011"/>
    <s v="PADLOCK SET (3PC)"/>
    <x v="5"/>
    <n v="-12"/>
    <n v="-12"/>
    <n v="700"/>
    <n v="700"/>
    <s v="NEGATIVE QUANTITY"/>
    <s v="NEGATIVE QUANTITY"/>
    <n v="450"/>
    <x v="2"/>
    <n v="-8400"/>
    <n v="-5400"/>
    <n v="-3000"/>
    <n v="0.35714285714285715"/>
    <x v="1"/>
  </r>
  <r>
    <n v="10082"/>
    <d v="2024-01-16T00:00:00"/>
    <n v="45307"/>
    <s v="nakuru"/>
    <x v="1"/>
    <s v="Mercy Njeri"/>
    <x v="3"/>
    <s v="P014"/>
    <s v="LED Bulb 9W (Pack of 4)"/>
    <x v="9"/>
    <n v="20"/>
    <n v="20"/>
    <n v="830"/>
    <n v="830"/>
    <s v=""/>
    <s v=""/>
    <n v="480"/>
    <x v="3"/>
    <n v="16600"/>
    <n v="9600"/>
    <n v="7000"/>
    <n v="0.42168674698795183"/>
    <x v="0"/>
  </r>
  <r>
    <n v="10206"/>
    <d v="2024-01-03T00:00:00"/>
    <n v="45294"/>
    <s v="Nairobi"/>
    <x v="5"/>
    <s v="Faith Wanjiru"/>
    <x v="1"/>
    <s v="P015"/>
    <s v="Water Dispenser Stand"/>
    <x v="2"/>
    <n v="20"/>
    <n v="20"/>
    <n v="2350"/>
    <n v="2350"/>
    <s v=""/>
    <s v=""/>
    <n v="1500"/>
    <x v="1"/>
    <n v="47000"/>
    <n v="30000"/>
    <n v="17000"/>
    <n v="0.36170212765957449"/>
    <x v="0"/>
  </r>
  <r>
    <n v="10091"/>
    <d v="2024-01-19T00:00:00"/>
    <n v="45310"/>
    <s v="KISUMU"/>
    <x v="3"/>
    <s v="Faith Wanjiru"/>
    <x v="1"/>
    <s v="P003"/>
    <s v="RECHARGEABLE TORCH RT-10"/>
    <x v="8"/>
    <n v="15"/>
    <n v="15"/>
    <n v="950"/>
    <n v="950"/>
    <s v=""/>
    <s v=""/>
    <n v="600"/>
    <x v="3"/>
    <n v="14250"/>
    <n v="9000"/>
    <n v="5250"/>
    <n v="0.36842105263157893"/>
    <x v="0"/>
  </r>
  <r>
    <n v="10015"/>
    <d v="2024-01-02T00:00:00"/>
    <n v="45293"/>
    <s v="mombasa"/>
    <x v="0"/>
    <s v="Faith Wanjiru"/>
    <x v="1"/>
    <s v="P009"/>
    <s v="Thermos Flask 1L"/>
    <x v="17"/>
    <n v="10"/>
    <n v="10"/>
    <n v="900"/>
    <n v="900"/>
    <s v=""/>
    <s v=""/>
    <n v="550"/>
    <x v="0"/>
    <n v="9000"/>
    <n v="5500"/>
    <n v="3500"/>
    <n v="0.3888888888888889"/>
    <x v="0"/>
  </r>
  <r>
    <n v="10315"/>
    <d v="2024-01-30T00:00:00"/>
    <n v="45321"/>
    <s v="Nairobi"/>
    <x v="5"/>
    <s v="  Aisha Hassan"/>
    <x v="4"/>
    <s v="P005"/>
    <s v="Non-Stick Frying Pan 28cm"/>
    <x v="14"/>
    <n v="-6"/>
    <n v="-6"/>
    <n v="1150"/>
    <n v="1150"/>
    <s v="NEGATIVE QUANTITY"/>
    <s v="NEGATIVE QUANTITY"/>
    <n v="700"/>
    <x v="0"/>
    <n v="-6900"/>
    <n v="-4200"/>
    <n v="-2700"/>
    <n v="0.39130434782608697"/>
    <x v="0"/>
  </r>
  <r>
    <n v="10260"/>
    <s v="13/02/2024"/>
    <n v="45335"/>
    <s v="KISUMU"/>
    <x v="3"/>
    <s v="Aisha Hassan  "/>
    <x v="4"/>
    <s v="P013"/>
    <s v="Kitchen Knife Set"/>
    <x v="0"/>
    <n v="3"/>
    <n v="3"/>
    <n v="1300"/>
    <n v="1300"/>
    <s v=""/>
    <s v=""/>
    <n v="800"/>
    <x v="0"/>
    <n v="3900"/>
    <n v="2400"/>
    <n v="1500"/>
    <n v="0.38461538461538464"/>
    <x v="2"/>
  </r>
  <r>
    <n v="10094"/>
    <d v="2024-02-11T00:00:00"/>
    <n v="45333"/>
    <s v="Eldoret"/>
    <x v="2"/>
    <s v="aisha hassan"/>
    <x v="4"/>
    <s v="P009"/>
    <s v="Thermos Flask 1L"/>
    <x v="17"/>
    <n v="3"/>
    <n v="3"/>
    <n v="850"/>
    <n v="850"/>
    <s v=""/>
    <s v=""/>
    <n v="550"/>
    <x v="0"/>
    <n v="2550"/>
    <n v="1650"/>
    <n v="900"/>
    <n v="0.35294117647058826"/>
    <x v="2"/>
  </r>
  <r>
    <n v="10282"/>
    <d v="2024-03-19T00:00:00"/>
    <n v="45370"/>
    <s v="Thika"/>
    <x v="4"/>
    <s v="Peter Otieno"/>
    <x v="0"/>
    <s v="P013"/>
    <s v="Kitchen Knife Set"/>
    <x v="0"/>
    <n v="12"/>
    <n v="12"/>
    <n v="1300"/>
    <n v="1300"/>
    <s v=""/>
    <s v=""/>
    <n v="800"/>
    <x v="0"/>
    <n v="15600"/>
    <n v="9600"/>
    <n v="6000"/>
    <n v="0.38461538461538464"/>
    <x v="1"/>
  </r>
  <r>
    <n v="10225"/>
    <s v="17/03/2024"/>
    <n v="45368"/>
    <s v=" Kisumu"/>
    <x v="3"/>
    <s v="Mercy Njeri  "/>
    <x v="3"/>
    <s v="P015"/>
    <s v="Water Dispenser Stand"/>
    <x v="2"/>
    <n v="2"/>
    <n v="2"/>
    <n v="2250"/>
    <n v="2250"/>
    <s v=""/>
    <s v=""/>
    <n v="1500"/>
    <x v="1"/>
    <n v="4500"/>
    <n v="3000"/>
    <n v="1500"/>
    <n v="0.33333333333333331"/>
    <x v="1"/>
  </r>
  <r>
    <n v="10292"/>
    <s v="25/01/2024"/>
    <n v="45316"/>
    <s v="Nairobi"/>
    <x v="5"/>
    <s v="  John Mwangi"/>
    <x v="7"/>
    <s v="P010"/>
    <s v="Wheelbarrow Heavy Duty"/>
    <x v="13"/>
    <n v="12"/>
    <n v="12"/>
    <n v="5150"/>
    <n v="5150"/>
    <s v=""/>
    <s v=""/>
    <n v="3500"/>
    <x v="2"/>
    <n v="61800"/>
    <n v="42000"/>
    <n v="19800"/>
    <n v="0.32038834951456313"/>
    <x v="0"/>
  </r>
  <r>
    <n v="10226"/>
    <s v="20/01/2024"/>
    <n v="45311"/>
    <s v="mombasa"/>
    <x v="0"/>
    <s v="  Grace Achieng"/>
    <x v="2"/>
    <s v="P015"/>
    <s v="Water Dispenser Stand"/>
    <x v="2"/>
    <n v="2"/>
    <n v="2"/>
    <n v="2400"/>
    <n v="2400"/>
    <s v=""/>
    <s v=""/>
    <n v="1500"/>
    <x v="1"/>
    <n v="4800"/>
    <n v="3000"/>
    <n v="1800"/>
    <n v="0.375"/>
    <x v="0"/>
  </r>
  <r>
    <n v="10128"/>
    <s v="25/01/2024"/>
    <n v="45316"/>
    <s v="Nairobi"/>
    <x v="5"/>
    <s v="aisha hassan"/>
    <x v="4"/>
    <s v="P006"/>
    <s v="plastic storage basket l "/>
    <x v="3"/>
    <n v="8"/>
    <n v="8"/>
    <n v="420"/>
    <n v="420"/>
    <s v=""/>
    <s v=""/>
    <n v="250"/>
    <x v="1"/>
    <n v="3360"/>
    <n v="2000"/>
    <n v="1360"/>
    <n v="0.40476190476190477"/>
    <x v="0"/>
  </r>
  <r>
    <n v="10187"/>
    <d v="2024-01-10T00:00:00"/>
    <n v="45301"/>
    <s v="mombasa"/>
    <x v="0"/>
    <s v="Brian Mutua"/>
    <x v="6"/>
    <s v="P002"/>
    <s v="Solar Lantern SL-200"/>
    <x v="11"/>
    <n v="2"/>
    <n v="2"/>
    <n v="1400"/>
    <n v="1400"/>
    <s v=""/>
    <s v=""/>
    <n v="900"/>
    <x v="3"/>
    <n v="2800"/>
    <n v="1800"/>
    <n v="1000"/>
    <n v="0.35714285714285715"/>
    <x v="0"/>
  </r>
  <r>
    <n v="10089"/>
    <d v="2024-02-21T00:00:00"/>
    <n v="45343"/>
    <s v="Nairobi"/>
    <x v="5"/>
    <s v="Mercy Njeri"/>
    <x v="3"/>
    <s v="P003"/>
    <s v="RECHARGEABLE TORCH RT-10"/>
    <x v="8"/>
    <n v="15"/>
    <n v="15"/>
    <n v="1000"/>
    <n v="1000"/>
    <s v=""/>
    <s v=""/>
    <n v="600"/>
    <x v="3"/>
    <n v="15000"/>
    <n v="9000"/>
    <n v="6000"/>
    <n v="0.4"/>
    <x v="2"/>
  </r>
  <r>
    <n v="10208"/>
    <d v="2024-03-11T00:00:00"/>
    <n v="45362"/>
    <s v="nakuru"/>
    <x v="1"/>
    <s v="John Mwangi"/>
    <x v="7"/>
    <s v="P002"/>
    <s v="Solar Lantern SL-200"/>
    <x v="11"/>
    <n v="5"/>
    <n v="5"/>
    <n v="1500"/>
    <n v="1500"/>
    <s v=""/>
    <s v=""/>
    <n v="900"/>
    <x v="3"/>
    <n v="7500"/>
    <n v="4500"/>
    <n v="3000"/>
    <n v="0.4"/>
    <x v="1"/>
  </r>
  <r>
    <n v="10033"/>
    <d v="2024-01-07T00:00:00"/>
    <n v="45298"/>
    <s v="Eldoret"/>
    <x v="2"/>
    <s v="Faith Wanjiru"/>
    <x v="1"/>
    <s v="P015"/>
    <s v="Water Dispenser Stand"/>
    <x v="2"/>
    <n v="2"/>
    <n v="2"/>
    <n v="2350"/>
    <n v="2350"/>
    <s v=""/>
    <s v=""/>
    <n v="1500"/>
    <x v="1"/>
    <n v="4700"/>
    <n v="3000"/>
    <n v="1700"/>
    <n v="0.36170212765957449"/>
    <x v="0"/>
  </r>
  <r>
    <n v="10130"/>
    <d v="2024-03-12T00:00:00"/>
    <n v="45363"/>
    <s v="KISUMU"/>
    <x v="3"/>
    <s v="Faith Wanjiru"/>
    <x v="1"/>
    <s v="P005"/>
    <s v="Non-Stick Frying Pan 28cm"/>
    <x v="14"/>
    <n v="5"/>
    <n v="5"/>
    <n v="1100"/>
    <n v="1100"/>
    <s v=""/>
    <s v=""/>
    <n v="700"/>
    <x v="0"/>
    <n v="5500"/>
    <n v="3500"/>
    <n v="2000"/>
    <n v="0.36363636363636365"/>
    <x v="1"/>
  </r>
  <r>
    <n v="10203"/>
    <d v="2024-01-26T00:00:00"/>
    <n v="45317"/>
    <s v="mombasa"/>
    <x v="0"/>
    <s v="Grace Achieng"/>
    <x v="2"/>
    <s v="P003"/>
    <s v="RECHARGEABLE TORCH RT-10"/>
    <x v="8"/>
    <n v="2"/>
    <n v="2"/>
    <n v="950"/>
    <n v="950"/>
    <s v=""/>
    <s v=""/>
    <n v="600"/>
    <x v="3"/>
    <n v="1900"/>
    <n v="1200"/>
    <n v="700"/>
    <n v="0.36842105263157893"/>
    <x v="0"/>
  </r>
  <r>
    <n v="10215"/>
    <d v="2024-02-09T00:00:00"/>
    <n v="45331"/>
    <s v="Thika"/>
    <x v="4"/>
    <s v="Samuel Kiptoo  "/>
    <x v="5"/>
    <s v="P003"/>
    <s v="RECHARGEABLE TORCH RT-10"/>
    <x v="8"/>
    <n v="3"/>
    <n v="3"/>
    <n v="900"/>
    <n v="900"/>
    <s v=""/>
    <s v=""/>
    <n v="600"/>
    <x v="3"/>
    <n v="2700"/>
    <n v="1800"/>
    <n v="900"/>
    <n v="0.33333333333333331"/>
    <x v="2"/>
  </r>
  <r>
    <n v="10192"/>
    <d v="2024-02-20T00:00:00"/>
    <n v="45342"/>
    <s v="Eldoret"/>
    <x v="2"/>
    <s v="Samuel Kiptoo"/>
    <x v="5"/>
    <s v="P011"/>
    <s v="PADLOCK SET (3PC)"/>
    <x v="5"/>
    <n v="12"/>
    <n v="12"/>
    <n v="750"/>
    <n v="750"/>
    <s v=""/>
    <s v=""/>
    <n v="450"/>
    <x v="2"/>
    <n v="9000"/>
    <n v="5400"/>
    <n v="3600"/>
    <n v="0.4"/>
    <x v="2"/>
  </r>
  <r>
    <n v="10227"/>
    <d v="2024-02-21T00:00:00"/>
    <n v="45343"/>
    <m/>
    <x v="6"/>
    <s v="Brian Mutua"/>
    <x v="6"/>
    <s v="P001"/>
    <s v="20L Jerrycan - Blue"/>
    <x v="1"/>
    <n v="8"/>
    <n v="8"/>
    <n v="550"/>
    <n v="550"/>
    <s v=""/>
    <s v=""/>
    <n v="350"/>
    <x v="1"/>
    <n v="4400"/>
    <n v="2800"/>
    <n v="1600"/>
    <n v="0.36363636363636365"/>
    <x v="2"/>
  </r>
  <r>
    <n v="10301"/>
    <d v="2024-02-10T00:00:00"/>
    <n v="45332"/>
    <s v="nakuru"/>
    <x v="1"/>
    <s v="Mercy Njeri"/>
    <x v="3"/>
    <s v="P009"/>
    <s v="Thermos Flask 1L"/>
    <x v="17"/>
    <n v="12"/>
    <n v="12"/>
    <n v="850"/>
    <n v="850"/>
    <s v=""/>
    <s v=""/>
    <n v="550"/>
    <x v="0"/>
    <n v="10200"/>
    <n v="6600"/>
    <n v="3600"/>
    <n v="0.35294117647058826"/>
    <x v="2"/>
  </r>
  <r>
    <n v="10083"/>
    <s v="14/01/2024"/>
    <n v="45305"/>
    <s v="KISUMU"/>
    <x v="3"/>
    <s v="Mercy Njeri"/>
    <x v="3"/>
    <s v="P002"/>
    <s v="solar lantern sl-200 "/>
    <x v="11"/>
    <n v="5"/>
    <n v="5"/>
    <n v="1550"/>
    <n v="1550"/>
    <s v=""/>
    <s v=""/>
    <n v="900"/>
    <x v="3"/>
    <n v="7750"/>
    <n v="4500"/>
    <n v="3250"/>
    <n v="0.41935483870967744"/>
    <x v="0"/>
  </r>
  <r>
    <n v="10223"/>
    <d v="2024-01-30T00:00:00"/>
    <n v="45321"/>
    <s v="Eldoret"/>
    <x v="2"/>
    <s v="John Mwangi"/>
    <x v="7"/>
    <s v="P014"/>
    <s v="LED Bulb 9W (Pack of 4)"/>
    <x v="9"/>
    <n v="8"/>
    <n v="8"/>
    <n v="880"/>
    <n v="880"/>
    <s v=""/>
    <s v=""/>
    <n v="480"/>
    <x v="3"/>
    <n v="7040"/>
    <n v="3840"/>
    <n v="3200"/>
    <n v="0.45454545454545453"/>
    <x v="0"/>
  </r>
  <r>
    <n v="10307"/>
    <s v="18/02/2024"/>
    <n v="45340"/>
    <s v="mombasa"/>
    <x v="0"/>
    <s v="Peter Otieno"/>
    <x v="0"/>
    <s v="P013"/>
    <s v="Kitchen Knife Set"/>
    <x v="0"/>
    <n v="3"/>
    <n v="3"/>
    <n v="1350"/>
    <n v="1350"/>
    <s v=""/>
    <s v=""/>
    <n v="800"/>
    <x v="0"/>
    <n v="4050"/>
    <n v="2400"/>
    <n v="1650"/>
    <n v="0.40740740740740738"/>
    <x v="2"/>
  </r>
  <r>
    <n v="10271"/>
    <s v="21/03/2024"/>
    <n v="45372"/>
    <s v="mombasa"/>
    <x v="0"/>
    <s v="Brian Mutua"/>
    <x v="6"/>
    <s v="P014"/>
    <s v="LED Bulb 9W (Pack of 4)"/>
    <x v="9"/>
    <n v="2"/>
    <n v="2"/>
    <n v="780"/>
    <n v="780"/>
    <s v=""/>
    <s v=""/>
    <n v="480"/>
    <x v="3"/>
    <n v="1560"/>
    <n v="960"/>
    <n v="600"/>
    <n v="0.38461538461538464"/>
    <x v="1"/>
  </r>
  <r>
    <n v="10047"/>
    <d v="2024-02-02T00:00:00"/>
    <n v="45324"/>
    <s v="mombasa"/>
    <x v="0"/>
    <s v="Grace Achieng  "/>
    <x v="2"/>
    <s v="P012"/>
    <s v="Garden Hose 20m"/>
    <x v="4"/>
    <n v="4"/>
    <n v="4"/>
    <n v="1700"/>
    <n v="1700"/>
    <s v=""/>
    <s v=""/>
    <n v="1100"/>
    <x v="2"/>
    <n v="6800"/>
    <n v="4400"/>
    <n v="2400"/>
    <n v="0.35294117647058826"/>
    <x v="2"/>
  </r>
  <r>
    <n v="10029"/>
    <d v="2024-02-22T00:00:00"/>
    <n v="45344"/>
    <s v="KISUMU"/>
    <x v="3"/>
    <s v="Brian Mutua"/>
    <x v="6"/>
    <s v="P012"/>
    <s v="Garden Hose 20m "/>
    <x v="4"/>
    <n v="5"/>
    <n v="5"/>
    <n v="1800"/>
    <n v="1800"/>
    <s v=""/>
    <s v=""/>
    <n v="1100"/>
    <x v="2"/>
    <n v="9000"/>
    <n v="5500"/>
    <n v="3500"/>
    <n v="0.3888888888888889"/>
    <x v="2"/>
  </r>
  <r>
    <n v="10220"/>
    <d v="2024-03-10T00:00:00"/>
    <n v="45361"/>
    <m/>
    <x v="6"/>
    <s v="Samuel Kiptoo  "/>
    <x v="5"/>
    <s v="P005"/>
    <s v="Non-Stick Frying Pan 28cm"/>
    <x v="14"/>
    <n v="4"/>
    <n v="4"/>
    <n v="1050"/>
    <n v="1050"/>
    <s v=""/>
    <s v=""/>
    <n v="700"/>
    <x v="0"/>
    <n v="4200"/>
    <n v="2800"/>
    <n v="1400"/>
    <n v="0.33333333333333331"/>
    <x v="1"/>
  </r>
  <r>
    <n v="10024"/>
    <d v="2024-02-22T00:00:00"/>
    <n v="45344"/>
    <s v="Eldoret"/>
    <x v="2"/>
    <s v="Peter Otieno"/>
    <x v="0"/>
    <s v="P015"/>
    <s v="Water Dispenser Stand"/>
    <x v="2"/>
    <n v="4"/>
    <n v="4"/>
    <n v="2300"/>
    <n v="2300"/>
    <s v=""/>
    <s v=""/>
    <n v="1500"/>
    <x v="1"/>
    <n v="9200"/>
    <n v="6000"/>
    <n v="3200"/>
    <n v="0.34782608695652173"/>
    <x v="2"/>
  </r>
  <r>
    <n v="10168"/>
    <d v="2024-03-29T00:00:00"/>
    <n v="45380"/>
    <s v="nakuru"/>
    <x v="1"/>
    <s v="John Mwangi"/>
    <x v="7"/>
    <s v="P013"/>
    <s v="Kitchen Knife Set"/>
    <x v="0"/>
    <n v="6"/>
    <n v="6"/>
    <n v="1400"/>
    <n v="1400"/>
    <s v=""/>
    <s v=""/>
    <n v="800"/>
    <x v="0"/>
    <n v="8400"/>
    <n v="4800"/>
    <n v="3600"/>
    <n v="0.42857142857142855"/>
    <x v="1"/>
  </r>
  <r>
    <n v="10333"/>
    <d v="2024-01-29T00:00:00"/>
    <n v="45320"/>
    <s v=" Mombasa"/>
    <x v="0"/>
    <s v="Mercy Njeri"/>
    <x v="3"/>
    <s v="P001"/>
    <s v="20L Jerrycan - Blue"/>
    <x v="1"/>
    <n v="5"/>
    <n v="5"/>
    <n v="650"/>
    <n v="650"/>
    <s v=""/>
    <s v=""/>
    <n v="350"/>
    <x v="1"/>
    <n v="3250"/>
    <n v="1750"/>
    <n v="1500"/>
    <n v="0.46153846153846156"/>
    <x v="0"/>
  </r>
  <r>
    <n v="10037"/>
    <d v="2024-02-04T00:00:00"/>
    <n v="45326"/>
    <s v="nakuru"/>
    <x v="1"/>
    <s v="aisha hassan"/>
    <x v="4"/>
    <s v="P001"/>
    <s v="20L Jerrycan - Blue"/>
    <x v="1"/>
    <n v="8"/>
    <n v="8"/>
    <n v="550"/>
    <n v="550"/>
    <s v=""/>
    <s v=""/>
    <n v="350"/>
    <x v="1"/>
    <n v="4400"/>
    <n v="2800"/>
    <n v="1600"/>
    <n v="0.36363636363636365"/>
    <x v="2"/>
  </r>
  <r>
    <n v="10248"/>
    <d v="2024-01-15T00:00:00"/>
    <n v="45306"/>
    <s v="Nairobi"/>
    <x v="5"/>
    <s v="John Mwangi"/>
    <x v="7"/>
    <s v="P001"/>
    <s v="20L Jerrycan - Blue"/>
    <x v="1"/>
    <n v="3"/>
    <n v="3"/>
    <n v="550"/>
    <n v="550"/>
    <s v=""/>
    <s v=""/>
    <n v="350"/>
    <x v="1"/>
    <n v="1650"/>
    <n v="1050"/>
    <n v="600"/>
    <n v="0.36363636363636365"/>
    <x v="0"/>
  </r>
  <r>
    <n v="10014"/>
    <s v="22/02/2024"/>
    <n v="45344"/>
    <s v="mombasa"/>
    <x v="0"/>
    <s v="  Grace Achieng"/>
    <x v="2"/>
    <s v="P002"/>
    <s v="Solar Lantern SL-200"/>
    <x v="11"/>
    <n v="20"/>
    <n v="20"/>
    <n v="1500"/>
    <n v="1500"/>
    <s v=""/>
    <s v=""/>
    <n v="900"/>
    <x v="3"/>
    <n v="30000"/>
    <n v="18000"/>
    <n v="12000"/>
    <n v="0.4"/>
    <x v="2"/>
  </r>
  <r>
    <n v="10076"/>
    <d v="2024-01-09T00:00:00"/>
    <n v="45300"/>
    <s v="Eldoret"/>
    <x v="2"/>
    <s v="Faith Wanjiru"/>
    <x v="1"/>
    <s v="P010"/>
    <s v="Wheelbarrow - Heavy Duty"/>
    <x v="15"/>
    <n v="4"/>
    <n v="4"/>
    <n v="5200"/>
    <n v="5200"/>
    <s v=""/>
    <s v=""/>
    <n v="3500"/>
    <x v="2"/>
    <n v="20800"/>
    <n v="14000"/>
    <n v="6800"/>
    <n v="0.32692307692307693"/>
    <x v="0"/>
  </r>
  <r>
    <n v="10043"/>
    <d v="2024-02-23T00:00:00"/>
    <n v="45345"/>
    <s v="nakuru"/>
    <x v="1"/>
    <s v="Grace Achieng"/>
    <x v="2"/>
    <s v="P007"/>
    <s v="MOSQUITO NET - FAMILY SIZE"/>
    <x v="10"/>
    <n v="6"/>
    <n v="6"/>
    <n v="700"/>
    <n v="700"/>
    <s v=""/>
    <s v=""/>
    <n v="400"/>
    <x v="1"/>
    <n v="4200"/>
    <n v="2400"/>
    <n v="1800"/>
    <n v="0.42857142857142855"/>
    <x v="2"/>
  </r>
  <r>
    <n v="10331"/>
    <s v="17/03/2024"/>
    <n v="45368"/>
    <s v="nakuru"/>
    <x v="1"/>
    <s v="Mercy Njeri"/>
    <x v="3"/>
    <s v="P015"/>
    <s v="Water Dispenser Stand"/>
    <x v="2"/>
    <n v="6"/>
    <n v="6"/>
    <n v="2400"/>
    <n v="2400"/>
    <s v=""/>
    <s v=""/>
    <n v="1500"/>
    <x v="1"/>
    <n v="14400"/>
    <n v="9000"/>
    <n v="5400"/>
    <n v="0.375"/>
    <x v="1"/>
  </r>
  <r>
    <n v="10074"/>
    <d v="2024-03-24T00:00:00"/>
    <n v="45375"/>
    <s v="Nairobi"/>
    <x v="5"/>
    <s v="aisha hassan"/>
    <x v="4"/>
    <s v="P010"/>
    <s v="Wheelbarrow - Heavy Duty"/>
    <x v="15"/>
    <n v="8"/>
    <n v="8"/>
    <n v="5200"/>
    <n v="5200"/>
    <s v=""/>
    <s v=""/>
    <n v="3500"/>
    <x v="2"/>
    <n v="41600"/>
    <n v="28000"/>
    <n v="13600"/>
    <n v="0.32692307692307693"/>
    <x v="1"/>
  </r>
  <r>
    <n v="10293"/>
    <d v="2024-02-03T00:00:00"/>
    <n v="45325"/>
    <s v="Eldoret "/>
    <x v="2"/>
    <s v="Brian Mutua  "/>
    <x v="6"/>
    <s v="P010"/>
    <s v="Wheelbarrow Heavy Duty"/>
    <x v="13"/>
    <n v="6"/>
    <n v="6"/>
    <n v="5300"/>
    <n v="5300"/>
    <s v=""/>
    <s v=""/>
    <n v="3500"/>
    <x v="2"/>
    <n v="31800"/>
    <n v="21000"/>
    <n v="10800"/>
    <n v="0.33962264150943394"/>
    <x v="2"/>
  </r>
  <r>
    <n v="10327"/>
    <d v="2024-03-07T00:00:00"/>
    <n v="45358"/>
    <s v="Thika "/>
    <x v="4"/>
    <s v="  Grace Achieng"/>
    <x v="2"/>
    <s v="P001"/>
    <s v="20L Jerrycan - Blue"/>
    <x v="1"/>
    <n v="3"/>
    <n v="3"/>
    <n v="550"/>
    <n v="550"/>
    <s v=""/>
    <s v=""/>
    <n v="350"/>
    <x v="1"/>
    <n v="1650"/>
    <n v="1050"/>
    <n v="600"/>
    <n v="0.36363636363636365"/>
    <x v="1"/>
  </r>
  <r>
    <n v="10332"/>
    <d v="2024-03-11T00:00:00"/>
    <n v="45362"/>
    <s v="Thika"/>
    <x v="4"/>
    <s v="Samuel Kiptoo"/>
    <x v="5"/>
    <s v="P006"/>
    <s v="Plastic Storage Basket (L)"/>
    <x v="16"/>
    <n v="10"/>
    <n v="10"/>
    <m/>
    <n v="0"/>
    <s v=""/>
    <s v=""/>
    <n v="250"/>
    <x v="1"/>
    <n v="0"/>
    <n v="2500"/>
    <n v="-2500"/>
    <n v="0"/>
    <x v="1"/>
  </r>
  <r>
    <n v="10329"/>
    <d v="2024-01-08T00:00:00"/>
    <n v="45299"/>
    <s v="Eldoret"/>
    <x v="2"/>
    <s v="  Samuel Kiptoo"/>
    <x v="5"/>
    <s v="P009"/>
    <s v="Thermos Flask 1L"/>
    <x v="17"/>
    <n v="1"/>
    <n v="1"/>
    <n v="850"/>
    <n v="850"/>
    <s v=""/>
    <s v=""/>
    <n v="550"/>
    <x v="0"/>
    <n v="850"/>
    <n v="550"/>
    <n v="300"/>
    <n v="0.35294117647058826"/>
    <x v="0"/>
  </r>
  <r>
    <n v="10244"/>
    <d v="2024-07-01T00:00:00"/>
    <n v="45474"/>
    <s v="Thika"/>
    <x v="4"/>
    <s v="Grace Achieng"/>
    <x v="2"/>
    <s v="P007"/>
    <s v="MOSQUITO NET - FAMILY SIZE"/>
    <x v="10"/>
    <n v="10"/>
    <n v="10"/>
    <n v="700"/>
    <n v="700"/>
    <s v=""/>
    <s v=""/>
    <n v="400"/>
    <x v="1"/>
    <n v="7000"/>
    <n v="4000"/>
    <n v="3000"/>
    <n v="0.42857142857142855"/>
    <x v="6"/>
  </r>
  <r>
    <n v="10013"/>
    <d v="2024-01-01T00:00:00"/>
    <n v="45292"/>
    <s v="Nairobi"/>
    <x v="5"/>
    <s v="John Mwangi  "/>
    <x v="7"/>
    <s v="P004"/>
    <s v="Cooking Gas Burner CB-2"/>
    <x v="12"/>
    <n v="2"/>
    <n v="2"/>
    <n v="1800"/>
    <n v="1800"/>
    <s v=""/>
    <s v=""/>
    <n v="1200"/>
    <x v="0"/>
    <n v="3600"/>
    <n v="2400"/>
    <n v="1200"/>
    <n v="0.33333333333333331"/>
    <x v="0"/>
  </r>
  <r>
    <n v="10250"/>
    <d v="2024-01-24T00:00:00"/>
    <n v="45315"/>
    <s v="Eldoret"/>
    <x v="2"/>
    <s v="Brian Mutua"/>
    <x v="6"/>
    <s v="P013"/>
    <s v="Kitchen Knife Set "/>
    <x v="0"/>
    <m/>
    <n v="0"/>
    <n v="1400"/>
    <n v="1400"/>
    <s v=""/>
    <s v=""/>
    <n v="800"/>
    <x v="0"/>
    <n v="0"/>
    <n v="0"/>
    <n v="0"/>
    <n v="0"/>
    <x v="0"/>
  </r>
  <r>
    <n v="10258"/>
    <d v="2024-03-27T00:00:00"/>
    <n v="45378"/>
    <s v="Eldoret "/>
    <x v="2"/>
    <s v="Grace Achieng"/>
    <x v="2"/>
    <s v="P013"/>
    <s v="Kitchen Knife Set"/>
    <x v="0"/>
    <n v="10"/>
    <n v="10"/>
    <n v="1350"/>
    <n v="1350"/>
    <s v=""/>
    <s v=""/>
    <n v="800"/>
    <x v="0"/>
    <n v="13500"/>
    <n v="8000"/>
    <n v="5500"/>
    <n v="0.40740740740740738"/>
    <x v="1"/>
  </r>
  <r>
    <n v="10143"/>
    <d v="2024-01-16T00:00:00"/>
    <n v="45307"/>
    <s v="mombasa"/>
    <x v="0"/>
    <s v="Brian Mutua"/>
    <x v="6"/>
    <s v="P009"/>
    <s v="Thermos Flask 1L"/>
    <x v="17"/>
    <n v="3"/>
    <n v="3"/>
    <n v="900"/>
    <n v="900"/>
    <s v=""/>
    <s v=""/>
    <n v="550"/>
    <x v="0"/>
    <n v="2700"/>
    <n v="1650"/>
    <n v="1050"/>
    <n v="0.3888888888888889"/>
    <x v="0"/>
  </r>
  <r>
    <n v="10166"/>
    <d v="2024-02-11T00:00:00"/>
    <n v="45333"/>
    <s v="nakuru"/>
    <x v="1"/>
    <s v="Samuel Kiptoo"/>
    <x v="5"/>
    <s v="P014"/>
    <s v="LED Bulb 9W (Pack of 4)"/>
    <x v="9"/>
    <n v="8"/>
    <n v="8"/>
    <n v="780"/>
    <n v="780"/>
    <s v=""/>
    <s v=""/>
    <n v="480"/>
    <x v="3"/>
    <n v="6240"/>
    <n v="3840"/>
    <n v="2400"/>
    <n v="0.38461538461538464"/>
    <x v="2"/>
  </r>
  <r>
    <n v="10321"/>
    <d v="2024-02-11T00:00:00"/>
    <n v="45333"/>
    <s v="mombasa"/>
    <x v="0"/>
    <s v="John Mwangi"/>
    <x v="7"/>
    <s v="P012"/>
    <s v="Garden Hose 20m "/>
    <x v="4"/>
    <n v="12"/>
    <n v="12"/>
    <n v="1800"/>
    <n v="1800"/>
    <s v=""/>
    <s v=""/>
    <n v="1100"/>
    <x v="2"/>
    <n v="21600"/>
    <n v="13200"/>
    <n v="8400"/>
    <n v="0.3888888888888889"/>
    <x v="2"/>
  </r>
  <r>
    <n v="10174"/>
    <d v="2024-03-26T00:00:00"/>
    <n v="45377"/>
    <s v="nakuru"/>
    <x v="1"/>
    <s v="Mercy Njeri"/>
    <x v="3"/>
    <s v="P010"/>
    <s v="Wheelbarrow - Heavy Duty"/>
    <x v="15"/>
    <n v="8"/>
    <n v="8"/>
    <n v="5300"/>
    <n v="5300"/>
    <s v=""/>
    <s v=""/>
    <n v="3500"/>
    <x v="2"/>
    <n v="42400"/>
    <n v="28000"/>
    <n v="14400"/>
    <n v="0.33962264150943394"/>
    <x v="1"/>
  </r>
  <r>
    <n v="10063"/>
    <s v="20/01/2024"/>
    <n v="45311"/>
    <s v="Nairobi"/>
    <x v="5"/>
    <s v="aisha hassan"/>
    <x v="4"/>
    <s v="P013"/>
    <s v="Kitchen Knife Set"/>
    <x v="0"/>
    <n v="5"/>
    <n v="5"/>
    <n v="1300"/>
    <n v="1300"/>
    <s v=""/>
    <s v=""/>
    <n v="800"/>
    <x v="0"/>
    <n v="6500"/>
    <n v="4000"/>
    <n v="2500"/>
    <n v="0.38461538461538464"/>
    <x v="0"/>
  </r>
  <r>
    <n v="10305"/>
    <d v="2024-02-10T00:00:00"/>
    <n v="45332"/>
    <s v="Thika"/>
    <x v="4"/>
    <s v="John Mwangi"/>
    <x v="7"/>
    <s v="P001"/>
    <s v="20L Jerrycan - Blue"/>
    <x v="1"/>
    <n v="20"/>
    <n v="20"/>
    <n v="550"/>
    <n v="550"/>
    <s v=""/>
    <s v=""/>
    <n v="350"/>
    <x v="1"/>
    <n v="11000"/>
    <n v="7000"/>
    <n v="4000"/>
    <n v="0.36363636363636365"/>
    <x v="2"/>
  </r>
  <r>
    <n v="10286"/>
    <s v="25/03/2024"/>
    <n v="45376"/>
    <m/>
    <x v="6"/>
    <s v="Brian Mutua  "/>
    <x v="6"/>
    <s v="P013"/>
    <s v="Kitchen Knife Set"/>
    <x v="0"/>
    <n v="6"/>
    <n v="6"/>
    <n v="1250"/>
    <n v="1250"/>
    <s v=""/>
    <s v=""/>
    <n v="800"/>
    <x v="0"/>
    <n v="7500"/>
    <n v="4800"/>
    <n v="2700"/>
    <n v="0.36"/>
    <x v="1"/>
  </r>
  <r>
    <n v="10294"/>
    <d v="2024-03-14T00:00:00"/>
    <n v="45365"/>
    <s v="KISUMU"/>
    <x v="3"/>
    <s v="Brian Mutua"/>
    <x v="6"/>
    <s v="P012"/>
    <s v="Garden Hose 20m"/>
    <x v="4"/>
    <n v="3"/>
    <n v="3"/>
    <n v="1650"/>
    <n v="1650"/>
    <s v=""/>
    <s v=""/>
    <n v="1100"/>
    <x v="2"/>
    <n v="4950"/>
    <n v="3300"/>
    <n v="1650"/>
    <n v="0.33333333333333331"/>
    <x v="1"/>
  </r>
  <r>
    <n v="10243"/>
    <d v="2024-05-03T00:00:00"/>
    <n v="45415"/>
    <s v="mombasa"/>
    <x v="0"/>
    <s v="Grace Achieng"/>
    <x v="2"/>
    <s v="P006"/>
    <s v="Plastic Storage Basket L"/>
    <x v="3"/>
    <n v="20"/>
    <n v="20"/>
    <n v="370"/>
    <n v="370"/>
    <s v=""/>
    <s v=""/>
    <n v="250"/>
    <x v="1"/>
    <n v="7400"/>
    <n v="5000"/>
    <n v="2400"/>
    <n v="0.32432432432432434"/>
    <x v="7"/>
  </r>
  <r>
    <n v="10134"/>
    <d v="2024-01-23T00:00:00"/>
    <n v="45314"/>
    <m/>
    <x v="6"/>
    <s v="Brian Mutua"/>
    <x v="6"/>
    <s v="P013"/>
    <s v="Kitchen Knife Set"/>
    <x v="0"/>
    <n v="10"/>
    <n v="10"/>
    <n v="1300"/>
    <n v="1300"/>
    <s v=""/>
    <s v=""/>
    <n v="800"/>
    <x v="0"/>
    <n v="13000"/>
    <n v="8000"/>
    <n v="5000"/>
    <n v="0.38461538461538464"/>
    <x v="0"/>
  </r>
  <r>
    <n v="10308"/>
    <d v="2024-03-12T00:00:00"/>
    <n v="45363"/>
    <s v="Eldoret"/>
    <x v="2"/>
    <s v="John Mwangi"/>
    <x v="7"/>
    <s v="P007"/>
    <s v="MOSQUITO NET - FAMILY SIZE"/>
    <x v="10"/>
    <n v="2"/>
    <n v="2"/>
    <n v="650"/>
    <n v="650"/>
    <s v=""/>
    <s v=""/>
    <n v="400"/>
    <x v="1"/>
    <n v="1300"/>
    <n v="800"/>
    <n v="500"/>
    <n v="0.38461538461538464"/>
    <x v="1"/>
  </r>
  <r>
    <n v="10165"/>
    <s v="17/03/2024"/>
    <n v="45368"/>
    <s v="mombasa"/>
    <x v="0"/>
    <s v="Samuel Kiptoo"/>
    <x v="5"/>
    <s v="P006"/>
    <s v="Plastic Storage Basket L"/>
    <x v="3"/>
    <n v="15"/>
    <n v="15"/>
    <n v="420"/>
    <n v="420"/>
    <s v=""/>
    <s v=""/>
    <n v="250"/>
    <x v="1"/>
    <n v="6300"/>
    <n v="3750"/>
    <n v="2550"/>
    <n v="0.40476190476190477"/>
    <x v="1"/>
  </r>
  <r>
    <n v="10135"/>
    <d v="2024-03-23T00:00:00"/>
    <n v="45374"/>
    <s v=" Eldoret"/>
    <x v="2"/>
    <s v="aisha hassan"/>
    <x v="4"/>
    <s v="P015"/>
    <s v="Water Dispenser Stand"/>
    <x v="2"/>
    <n v="3"/>
    <n v="3"/>
    <n v="2400"/>
    <n v="2400"/>
    <s v=""/>
    <s v=""/>
    <n v="1500"/>
    <x v="1"/>
    <n v="7200"/>
    <n v="4500"/>
    <n v="2700"/>
    <n v="0.375"/>
    <x v="1"/>
  </r>
  <r>
    <n v="10138"/>
    <d v="2024-03-31T00:00:00"/>
    <n v="45382"/>
    <s v="KISUMU"/>
    <x v="3"/>
    <s v="Grace Achieng  "/>
    <x v="2"/>
    <s v="P011"/>
    <s v="PADLOCK SET (3PC)"/>
    <x v="5"/>
    <n v="5"/>
    <n v="5"/>
    <n v="700"/>
    <n v="700"/>
    <s v=""/>
    <s v=""/>
    <n v="450"/>
    <x v="2"/>
    <n v="3500"/>
    <n v="2250"/>
    <n v="1250"/>
    <n v="0.35714285714285715"/>
    <x v="1"/>
  </r>
  <r>
    <n v="10231"/>
    <d v="2024-03-01T00:00:00"/>
    <n v="45352"/>
    <s v="Eldoret"/>
    <x v="2"/>
    <s v="Mercy Njeri"/>
    <x v="3"/>
    <s v="P006"/>
    <s v="Plastic Storage Basket L"/>
    <x v="3"/>
    <n v="3"/>
    <n v="3"/>
    <n v="420"/>
    <n v="420"/>
    <s v=""/>
    <s v=""/>
    <n v="250"/>
    <x v="1"/>
    <n v="1260"/>
    <n v="750"/>
    <n v="510"/>
    <n v="0.40476190476190477"/>
    <x v="1"/>
  </r>
  <r>
    <n v="10147"/>
    <d v="2024-02-14T00:00:00"/>
    <n v="45336"/>
    <s v="Thika "/>
    <x v="4"/>
    <s v="Brian Mutua"/>
    <x v="6"/>
    <s v="P013"/>
    <s v="Kitchen Knife Set"/>
    <x v="0"/>
    <n v="12"/>
    <n v="12"/>
    <n v="1300"/>
    <n v="1300"/>
    <s v=""/>
    <s v=""/>
    <n v="800"/>
    <x v="0"/>
    <n v="15600"/>
    <n v="9600"/>
    <n v="6000"/>
    <n v="0.38461538461538464"/>
    <x v="2"/>
  </r>
  <r>
    <n v="10233"/>
    <d v="2024-02-02T00:00:00"/>
    <n v="45324"/>
    <s v=" Eldoret"/>
    <x v="2"/>
    <s v="Samuel Kiptoo"/>
    <x v="5"/>
    <s v="P012"/>
    <s v="Garden Hose 20m "/>
    <x v="4"/>
    <n v="20"/>
    <n v="20"/>
    <n v="1700"/>
    <n v="1700"/>
    <s v=""/>
    <s v=""/>
    <n v="1100"/>
    <x v="2"/>
    <n v="34000"/>
    <n v="22000"/>
    <n v="12000"/>
    <n v="0.35294117647058826"/>
    <x v="2"/>
  </r>
  <r>
    <n v="10101"/>
    <d v="2024-02-04T00:00:00"/>
    <n v="45326"/>
    <s v="nakuru"/>
    <x v="1"/>
    <s v="Peter Otieno"/>
    <x v="0"/>
    <s v="P014"/>
    <s v="LED Bulb 9W (Pack of 4)"/>
    <x v="9"/>
    <n v="8"/>
    <n v="8"/>
    <n v="730"/>
    <n v="730"/>
    <s v=""/>
    <s v=""/>
    <n v="480"/>
    <x v="3"/>
    <n v="5840"/>
    <n v="3840"/>
    <n v="2000"/>
    <n v="0.34246575342465752"/>
    <x v="2"/>
  </r>
  <r>
    <n v="10287"/>
    <d v="2024-03-14T00:00:00"/>
    <n v="45365"/>
    <s v="mombasa"/>
    <x v="0"/>
    <s v="John Mwangi"/>
    <x v="7"/>
    <s v="P003"/>
    <s v="RECHARGEABLE TORCH RT-10"/>
    <x v="8"/>
    <n v="5"/>
    <n v="5"/>
    <n v="950"/>
    <n v="950"/>
    <s v=""/>
    <s v=""/>
    <n v="600"/>
    <x v="3"/>
    <n v="4750"/>
    <n v="3000"/>
    <n v="1750"/>
    <n v="0.36842105263157893"/>
    <x v="1"/>
  </r>
  <r>
    <n v="10098"/>
    <d v="2024-02-07T00:00:00"/>
    <n v="45329"/>
    <s v="Nairobi"/>
    <x v="5"/>
    <s v="John Mwangi"/>
    <x v="7"/>
    <s v="P011"/>
    <s v="PADLOCK SET (3PC)"/>
    <x v="5"/>
    <n v="6"/>
    <n v="6"/>
    <n v="800"/>
    <n v="800"/>
    <s v=""/>
    <s v=""/>
    <n v="450"/>
    <x v="2"/>
    <n v="4800"/>
    <n v="2700"/>
    <n v="2100"/>
    <n v="0.4375"/>
    <x v="2"/>
  </r>
  <r>
    <n v="10319"/>
    <d v="2024-03-04T00:00:00"/>
    <n v="45355"/>
    <s v=" Kisumu"/>
    <x v="3"/>
    <s v="aisha hassan"/>
    <x v="4"/>
    <s v="P012"/>
    <s v="Garden Hose 20m"/>
    <x v="4"/>
    <n v="1"/>
    <n v="1"/>
    <n v="1700"/>
    <n v="1700"/>
    <s v=""/>
    <s v=""/>
    <n v="1100"/>
    <x v="2"/>
    <n v="1700"/>
    <n v="1100"/>
    <n v="600"/>
    <n v="0.35294117647058826"/>
    <x v="1"/>
  </r>
  <r>
    <n v="10011"/>
    <d v="2024-01-08T00:00:00"/>
    <n v="45299"/>
    <s v="mombasa"/>
    <x v="0"/>
    <s v="Grace Achieng  "/>
    <x v="2"/>
    <s v="P002"/>
    <s v="Solar Lantern SL-200"/>
    <x v="11"/>
    <n v="10"/>
    <n v="10"/>
    <n v="1400"/>
    <n v="1400"/>
    <s v=""/>
    <s v=""/>
    <n v="900"/>
    <x v="3"/>
    <n v="14000"/>
    <n v="9000"/>
    <n v="5000"/>
    <n v="0.35714285714285715"/>
    <x v="0"/>
  </r>
  <r>
    <n v="10274"/>
    <d v="2024-02-06T00:00:00"/>
    <n v="45328"/>
    <s v="Nakuru "/>
    <x v="1"/>
    <s v="Brian Mutua"/>
    <x v="6"/>
    <s v="P007"/>
    <s v="MOSQUITO NET - FAMILY SIZE"/>
    <x v="10"/>
    <n v="20"/>
    <n v="20"/>
    <n v="600"/>
    <n v="600"/>
    <s v=""/>
    <s v=""/>
    <n v="400"/>
    <x v="1"/>
    <n v="12000"/>
    <n v="8000"/>
    <n v="4000"/>
    <n v="0.33333333333333331"/>
    <x v="2"/>
  </r>
  <r>
    <n v="10110"/>
    <d v="2024-03-29T00:00:00"/>
    <n v="45380"/>
    <s v="nakuru"/>
    <x v="1"/>
    <s v="Mercy Njeri"/>
    <x v="3"/>
    <s v="P008"/>
    <s v="USB Wall Charger UC-5"/>
    <x v="6"/>
    <n v="1"/>
    <n v="1"/>
    <n v="500"/>
    <n v="500"/>
    <s v=""/>
    <s v=""/>
    <n v="300"/>
    <x v="3"/>
    <n v="500"/>
    <n v="300"/>
    <n v="200"/>
    <n v="0.4"/>
    <x v="1"/>
  </r>
  <r>
    <n v="10064"/>
    <d v="2024-10-03T00:00:00"/>
    <n v="45568"/>
    <s v="Nairobi"/>
    <x v="5"/>
    <s v="Grace Achieng"/>
    <x v="2"/>
    <s v="P004"/>
    <s v="Cooking Gas Burner CB-2 "/>
    <x v="12"/>
    <n v="20"/>
    <n v="20"/>
    <n v="1850"/>
    <n v="1850"/>
    <s v=""/>
    <s v=""/>
    <n v="1200"/>
    <x v="0"/>
    <n v="37000"/>
    <n v="24000"/>
    <n v="13000"/>
    <n v="0.35135135135135137"/>
    <x v="8"/>
  </r>
  <r>
    <n v="10118"/>
    <d v="2024-03-20T00:00:00"/>
    <n v="45371"/>
    <s v="Thika"/>
    <x v="4"/>
    <s v="Mercy Njeri"/>
    <x v="3"/>
    <s v="P014"/>
    <s v="LED Bulb 9W (Pack of 4)"/>
    <x v="9"/>
    <n v="15"/>
    <n v="15"/>
    <m/>
    <n v="0"/>
    <s v=""/>
    <s v=""/>
    <n v="480"/>
    <x v="3"/>
    <n v="0"/>
    <n v="7200"/>
    <n v="-7200"/>
    <n v="0"/>
    <x v="1"/>
  </r>
  <r>
    <n v="10084"/>
    <d v="2024-01-04T00:00:00"/>
    <n v="45295"/>
    <s v="mombasa"/>
    <x v="0"/>
    <s v="Samuel Kiptoo"/>
    <x v="5"/>
    <s v="P012"/>
    <s v="Garden Hose 20m"/>
    <x v="4"/>
    <n v="5"/>
    <n v="5"/>
    <n v="1700"/>
    <n v="1700"/>
    <s v=""/>
    <s v=""/>
    <n v="1100"/>
    <x v="2"/>
    <n v="8500"/>
    <n v="5500"/>
    <n v="3000"/>
    <n v="0.35294117647058826"/>
    <x v="0"/>
  </r>
  <r>
    <n v="10224"/>
    <d v="2024-03-27T00:00:00"/>
    <n v="45378"/>
    <s v="Eldoret"/>
    <x v="2"/>
    <s v="Peter Otieno"/>
    <x v="0"/>
    <s v="P002"/>
    <s v="Solar Lantern SL200"/>
    <x v="7"/>
    <n v="10"/>
    <n v="10"/>
    <n v="1450"/>
    <n v="1450"/>
    <s v=""/>
    <s v=""/>
    <n v="900"/>
    <x v="3"/>
    <n v="14500"/>
    <n v="9000"/>
    <n v="5500"/>
    <n v="0.37931034482758619"/>
    <x v="1"/>
  </r>
  <r>
    <n v="10252"/>
    <d v="2024-02-01T00:00:00"/>
    <n v="45323"/>
    <m/>
    <x v="6"/>
    <s v="Mercy Njeri"/>
    <x v="3"/>
    <s v="P011"/>
    <s v="PADLOCK SET (3PC)"/>
    <x v="5"/>
    <n v="20"/>
    <n v="20"/>
    <n v="750"/>
    <n v="750"/>
    <s v=""/>
    <s v=""/>
    <n v="450"/>
    <x v="2"/>
    <n v="15000"/>
    <n v="9000"/>
    <n v="6000"/>
    <n v="0.4"/>
    <x v="2"/>
  </r>
  <r>
    <n v="10237"/>
    <d v="2024-01-17T00:00:00"/>
    <n v="45308"/>
    <s v="Thika"/>
    <x v="4"/>
    <s v="Samuel Kiptoo"/>
    <x v="5"/>
    <s v="P012"/>
    <s v="Garden Hose 20m"/>
    <x v="4"/>
    <n v="12"/>
    <n v="12"/>
    <n v="1700"/>
    <n v="1700"/>
    <s v=""/>
    <s v=""/>
    <n v="1100"/>
    <x v="2"/>
    <n v="20400"/>
    <n v="13200"/>
    <n v="7200"/>
    <n v="0.35294117647058826"/>
    <x v="0"/>
  </r>
  <r>
    <n v="10113"/>
    <s v="28/01/2024"/>
    <n v="45319"/>
    <s v="Eldoret"/>
    <x v="2"/>
    <s v="Samuel Kiptoo"/>
    <x v="5"/>
    <s v="P012"/>
    <s v="Garden Hose 20m"/>
    <x v="4"/>
    <n v="10"/>
    <n v="10"/>
    <n v="1700"/>
    <n v="1700"/>
    <s v=""/>
    <s v=""/>
    <n v="1100"/>
    <x v="2"/>
    <n v="17000"/>
    <n v="11000"/>
    <n v="6000"/>
    <n v="0.35294117647058826"/>
    <x v="0"/>
  </r>
  <r>
    <n v="10323"/>
    <d v="2024-02-13T00:00:00"/>
    <n v="45335"/>
    <s v="Thika "/>
    <x v="4"/>
    <s v="John Mwangi"/>
    <x v="7"/>
    <s v="P001"/>
    <s v="20L Jerrycan - Blue"/>
    <x v="1"/>
    <n v="6"/>
    <n v="6"/>
    <n v="550"/>
    <n v="550"/>
    <s v=""/>
    <s v=""/>
    <n v="350"/>
    <x v="1"/>
    <n v="3300"/>
    <n v="2100"/>
    <n v="1200"/>
    <n v="0.36363636363636365"/>
    <x v="2"/>
  </r>
  <r>
    <n v="10017"/>
    <d v="2024-02-24T00:00:00"/>
    <n v="45346"/>
    <s v="Thika"/>
    <x v="4"/>
    <s v="aisha hassan"/>
    <x v="4"/>
    <s v="P003"/>
    <s v="RECHARGEABLE TORCH RT-10"/>
    <x v="8"/>
    <n v="4"/>
    <n v="4"/>
    <n v="950"/>
    <n v="950"/>
    <s v=""/>
    <s v=""/>
    <n v="600"/>
    <x v="3"/>
    <n v="3800"/>
    <n v="2400"/>
    <n v="1400"/>
    <n v="0.36842105263157893"/>
    <x v="2"/>
  </r>
  <r>
    <n v="10053"/>
    <d v="2024-01-29T00:00:00"/>
    <n v="45320"/>
    <s v="Thika"/>
    <x v="4"/>
    <s v="Peter Otieno"/>
    <x v="0"/>
    <s v="P015"/>
    <s v="Water Dispenser Stand"/>
    <x v="2"/>
    <n v="5"/>
    <n v="5"/>
    <n v="2300"/>
    <n v="2300"/>
    <s v=""/>
    <s v=""/>
    <n v="1500"/>
    <x v="1"/>
    <n v="11500"/>
    <n v="7500"/>
    <n v="4000"/>
    <n v="0.34782608695652173"/>
    <x v="0"/>
  </r>
  <r>
    <n v="10194"/>
    <d v="2024-01-08T00:00:00"/>
    <n v="45299"/>
    <s v="KISUMU"/>
    <x v="3"/>
    <s v="Peter Otieno"/>
    <x v="0"/>
    <s v="P002"/>
    <s v="Solar Lantern SL200"/>
    <x v="7"/>
    <n v="1"/>
    <n v="1"/>
    <n v="1450"/>
    <n v="1450"/>
    <s v=""/>
    <s v=""/>
    <n v="900"/>
    <x v="3"/>
    <n v="1450"/>
    <n v="900"/>
    <n v="550"/>
    <n v="0.37931034482758619"/>
    <x v="0"/>
  </r>
  <r>
    <n v="10052"/>
    <d v="2024-02-07T00:00:00"/>
    <n v="45329"/>
    <s v="Nairobi"/>
    <x v="5"/>
    <s v="Faith Wanjiru"/>
    <x v="1"/>
    <s v="P005"/>
    <s v="Non-Stick Frying Pan 28cm"/>
    <x v="14"/>
    <n v="5"/>
    <n v="5"/>
    <n v="1150"/>
    <n v="1150"/>
    <s v=""/>
    <s v=""/>
    <n v="700"/>
    <x v="0"/>
    <n v="5750"/>
    <n v="3500"/>
    <n v="2250"/>
    <n v="0.39130434782608697"/>
    <x v="2"/>
  </r>
  <r>
    <n v="10172"/>
    <d v="2024-01-23T00:00:00"/>
    <n v="45314"/>
    <s v="Eldoret"/>
    <x v="2"/>
    <s v="Peter Otieno  "/>
    <x v="0"/>
    <s v="P006"/>
    <s v="Plastic Storage Basket (L)"/>
    <x v="16"/>
    <n v="12"/>
    <n v="12"/>
    <n v="470"/>
    <n v="470"/>
    <s v=""/>
    <s v=""/>
    <n v="250"/>
    <x v="1"/>
    <n v="5640"/>
    <n v="3000"/>
    <n v="2640"/>
    <n v="0.46808510638297873"/>
    <x v="0"/>
  </r>
  <r>
    <n v="10254"/>
    <d v="2024-02-27T00:00:00"/>
    <n v="45349"/>
    <s v="Nairobi"/>
    <x v="5"/>
    <s v="aisha hassan"/>
    <x v="4"/>
    <s v="P008"/>
    <s v="USB Wall Charger UC-5"/>
    <x v="6"/>
    <n v="-6"/>
    <n v="-6"/>
    <n v="450"/>
    <n v="450"/>
    <s v="NEGATIVE QUANTITY"/>
    <s v="NEGATIVE QUANTITY"/>
    <n v="300"/>
    <x v="3"/>
    <n v="-2700"/>
    <n v="-1800"/>
    <n v="-900"/>
    <n v="0.33333333333333331"/>
    <x v="2"/>
  </r>
  <r>
    <n v="10057"/>
    <d v="2024-03-06T00:00:00"/>
    <n v="45357"/>
    <s v="Nairobi"/>
    <x v="5"/>
    <s v="aisha hassan"/>
    <x v="4"/>
    <s v="P007"/>
    <s v="MOSQUITO NET - FAMILY SIZE"/>
    <x v="10"/>
    <n v="1"/>
    <n v="1"/>
    <n v="650"/>
    <n v="650"/>
    <s v=""/>
    <s v=""/>
    <n v="400"/>
    <x v="1"/>
    <n v="650"/>
    <n v="400"/>
    <n v="250"/>
    <n v="0.38461538461538464"/>
    <x v="1"/>
  </r>
  <r>
    <n v="10004"/>
    <s v="20/03/2024"/>
    <n v="45371"/>
    <s v="KISUMU"/>
    <x v="3"/>
    <s v="  Faith Wanjiru"/>
    <x v="1"/>
    <s v="P012"/>
    <s v="Garden Hose 20m"/>
    <x v="4"/>
    <n v="2"/>
    <n v="2"/>
    <n v="1650"/>
    <n v="1650"/>
    <s v=""/>
    <s v=""/>
    <n v="1100"/>
    <x v="2"/>
    <n v="3300"/>
    <n v="2200"/>
    <n v="1100"/>
    <n v="0.33333333333333331"/>
    <x v="1"/>
  </r>
  <r>
    <n v="10326"/>
    <s v="20/03/2024"/>
    <n v="45371"/>
    <s v="mombasa"/>
    <x v="0"/>
    <s v="  Mercy Njeri"/>
    <x v="3"/>
    <s v="P012"/>
    <s v="Garden Hose 20m"/>
    <x v="4"/>
    <n v="2"/>
    <n v="2"/>
    <n v="1800"/>
    <n v="1800"/>
    <s v=""/>
    <s v=""/>
    <n v="1100"/>
    <x v="2"/>
    <n v="3600"/>
    <n v="2200"/>
    <n v="1400"/>
    <n v="0.3888888888888889"/>
    <x v="1"/>
  </r>
  <r>
    <n v="10009"/>
    <d v="2024-03-09T00:00:00"/>
    <n v="45360"/>
    <s v="KISUMU"/>
    <x v="3"/>
    <s v="Mercy Njeri"/>
    <x v="3"/>
    <s v="P002"/>
    <s v="Solar Lantern SL-200"/>
    <x v="11"/>
    <n v="5"/>
    <n v="5"/>
    <m/>
    <n v="0"/>
    <s v=""/>
    <s v=""/>
    <n v="900"/>
    <x v="3"/>
    <n v="0"/>
    <n v="4500"/>
    <n v="-4500"/>
    <n v="0"/>
    <x v="1"/>
  </r>
  <r>
    <n v="10058"/>
    <d v="2024-01-16T00:00:00"/>
    <n v="45307"/>
    <s v="Nairobi"/>
    <x v="5"/>
    <s v="Faith Wanjiru"/>
    <x v="1"/>
    <s v="P012"/>
    <s v="Garden Hose 20m"/>
    <x v="4"/>
    <n v="3"/>
    <n v="3"/>
    <n v="1700"/>
    <n v="1700"/>
    <s v=""/>
    <s v=""/>
    <n v="1100"/>
    <x v="2"/>
    <n v="5100"/>
    <n v="3300"/>
    <n v="1800"/>
    <n v="0.35294117647058826"/>
    <x v="0"/>
  </r>
  <r>
    <n v="10050"/>
    <d v="2024-01-20T00:00:00"/>
    <n v="45311"/>
    <s v="Eldoret"/>
    <x v="2"/>
    <s v="  Samuel Kiptoo"/>
    <x v="5"/>
    <s v="P002"/>
    <s v="Solar Lantern SL-200"/>
    <x v="11"/>
    <n v="4"/>
    <n v="4"/>
    <n v="1400"/>
    <n v="1400"/>
    <s v=""/>
    <s v=""/>
    <n v="900"/>
    <x v="3"/>
    <n v="5600"/>
    <n v="3600"/>
    <n v="2000"/>
    <n v="0.35714285714285715"/>
    <x v="0"/>
  </r>
  <r>
    <n v="10042"/>
    <s v="14/01/2024"/>
    <n v="45305"/>
    <s v="Thika "/>
    <x v="4"/>
    <s v="Samuel Kiptoo  "/>
    <x v="5"/>
    <s v="P014"/>
    <s v="LED Bulb 9W (Pack of 4)"/>
    <x v="9"/>
    <n v="20"/>
    <n v="20"/>
    <n v="880"/>
    <n v="880"/>
    <s v=""/>
    <s v=""/>
    <n v="480"/>
    <x v="3"/>
    <n v="17600"/>
    <n v="9600"/>
    <n v="8000"/>
    <n v="0.45454545454545453"/>
    <x v="0"/>
  </r>
  <r>
    <n v="10036"/>
    <d v="2024-03-15T00:00:00"/>
    <n v="45366"/>
    <s v=" Thika"/>
    <x v="4"/>
    <s v="John Mwangi"/>
    <x v="7"/>
    <s v="P014"/>
    <s v="LED Bulb 9W (Pack of 4)"/>
    <x v="9"/>
    <n v="15"/>
    <n v="15"/>
    <n v="830"/>
    <n v="830"/>
    <s v=""/>
    <s v=""/>
    <n v="480"/>
    <x v="3"/>
    <n v="12450"/>
    <n v="7200"/>
    <n v="5250"/>
    <n v="0.42168674698795183"/>
    <x v="1"/>
  </r>
  <r>
    <n v="10122"/>
    <d v="2024-02-20T00:00:00"/>
    <n v="45342"/>
    <s v="Eldoret"/>
    <x v="2"/>
    <s v="aisha hassan"/>
    <x v="4"/>
    <s v="P004"/>
    <s v="Cooking Gas Burner CB-2"/>
    <x v="12"/>
    <n v="4"/>
    <n v="4"/>
    <n v="1950"/>
    <n v="1950"/>
    <s v=""/>
    <s v=""/>
    <n v="1200"/>
    <x v="0"/>
    <n v="7800"/>
    <n v="4800"/>
    <n v="3000"/>
    <n v="0.38461538461538464"/>
    <x v="2"/>
  </r>
  <r>
    <n v="10126"/>
    <d v="2024-06-03T00:00:00"/>
    <n v="45446"/>
    <s v=" Eldoret"/>
    <x v="2"/>
    <s v="aisha hassan"/>
    <x v="4"/>
    <s v="P012"/>
    <s v="Garden Hose 20m "/>
    <x v="4"/>
    <n v="15"/>
    <n v="15"/>
    <m/>
    <n v="0"/>
    <s v=""/>
    <s v=""/>
    <n v="1100"/>
    <x v="2"/>
    <n v="0"/>
    <n v="16500"/>
    <n v="-16500"/>
    <n v="0"/>
    <x v="5"/>
  </r>
  <r>
    <n v="10100"/>
    <d v="2024-02-18T00:00:00"/>
    <n v="45340"/>
    <s v="Eldoret"/>
    <x v="2"/>
    <s v="Brian Mutua  "/>
    <x v="6"/>
    <s v="P003"/>
    <s v="RECHARGEABLE TORCH RT-10"/>
    <x v="8"/>
    <n v="4"/>
    <n v="4"/>
    <n v="1050"/>
    <n v="1050"/>
    <s v=""/>
    <s v=""/>
    <n v="600"/>
    <x v="3"/>
    <n v="4200"/>
    <n v="2400"/>
    <n v="1800"/>
    <n v="0.42857142857142855"/>
    <x v="2"/>
  </r>
  <r>
    <n v="10241"/>
    <d v="2024-03-08T00:00:00"/>
    <n v="45359"/>
    <s v="Mombasa "/>
    <x v="0"/>
    <s v="John Mwangi"/>
    <x v="7"/>
    <s v="P011"/>
    <s v="PADLOCK SET (3PC)"/>
    <x v="5"/>
    <n v="1"/>
    <n v="1"/>
    <n v="700"/>
    <n v="700"/>
    <s v=""/>
    <s v=""/>
    <n v="450"/>
    <x v="2"/>
    <n v="700"/>
    <n v="450"/>
    <n v="250"/>
    <n v="0.35714285714285715"/>
    <x v="1"/>
  </r>
  <r>
    <n v="10322"/>
    <d v="2024-02-05T00:00:00"/>
    <n v="45327"/>
    <s v="Eldoret"/>
    <x v="2"/>
    <s v="Grace Achieng"/>
    <x v="2"/>
    <s v="P007"/>
    <s v="MOSQUITO NET - FAMILY SIZE"/>
    <x v="10"/>
    <n v="4"/>
    <n v="4"/>
    <n v="600"/>
    <n v="600"/>
    <s v=""/>
    <s v=""/>
    <n v="400"/>
    <x v="1"/>
    <n v="2400"/>
    <n v="1600"/>
    <n v="800"/>
    <n v="0.33333333333333331"/>
    <x v="2"/>
  </r>
  <r>
    <n v="10167"/>
    <d v="2024-02-26T00:00:00"/>
    <n v="45348"/>
    <s v=" Kisumu"/>
    <x v="3"/>
    <s v="Grace Achieng  "/>
    <x v="2"/>
    <s v="P014"/>
    <s v="LED Bulb 9W (Pack of 4)"/>
    <x v="9"/>
    <n v="8"/>
    <n v="8"/>
    <n v="830"/>
    <n v="830"/>
    <s v=""/>
    <s v=""/>
    <n v="480"/>
    <x v="3"/>
    <n v="6640"/>
    <n v="3840"/>
    <n v="2800"/>
    <n v="0.42168674698795183"/>
    <x v="2"/>
  </r>
  <r>
    <n v="10183"/>
    <d v="2024-03-15T00:00:00"/>
    <n v="45366"/>
    <s v="Nairobi"/>
    <x v="5"/>
    <s v="Grace Achieng"/>
    <x v="2"/>
    <s v="P012"/>
    <s v="Garden Hose 20m"/>
    <x v="4"/>
    <n v="10"/>
    <n v="10"/>
    <n v="1700"/>
    <n v="1700"/>
    <s v=""/>
    <s v=""/>
    <n v="1100"/>
    <x v="2"/>
    <n v="17000"/>
    <n v="11000"/>
    <n v="6000"/>
    <n v="0.35294117647058826"/>
    <x v="1"/>
  </r>
  <r>
    <n v="10303"/>
    <d v="2024-03-25T00:00:00"/>
    <n v="45376"/>
    <s v="nakuru"/>
    <x v="1"/>
    <s v="John Mwangi"/>
    <x v="7"/>
    <s v="P013"/>
    <s v="Kitchen Knife Set"/>
    <x v="0"/>
    <n v="12"/>
    <n v="12"/>
    <n v="1250"/>
    <n v="1250"/>
    <s v=""/>
    <s v=""/>
    <n v="800"/>
    <x v="0"/>
    <n v="15000"/>
    <n v="9600"/>
    <n v="5400"/>
    <n v="0.36"/>
    <x v="1"/>
  </r>
  <r>
    <n v="10304"/>
    <d v="2024-03-06T00:00:00"/>
    <n v="45357"/>
    <s v="KISUMU"/>
    <x v="3"/>
    <s v="Brian Mutua"/>
    <x v="6"/>
    <s v="P004"/>
    <s v="Cooking Gas Burner CB-2"/>
    <x v="12"/>
    <n v="15"/>
    <n v="15"/>
    <n v="1850"/>
    <n v="1850"/>
    <s v=""/>
    <s v=""/>
    <n v="1200"/>
    <x v="0"/>
    <n v="27750"/>
    <n v="18000"/>
    <n v="9750"/>
    <n v="0.35135135135135137"/>
    <x v="1"/>
  </r>
  <r>
    <n v="10217"/>
    <d v="2024-01-09T00:00:00"/>
    <n v="45300"/>
    <s v=" Kisumu"/>
    <x v="3"/>
    <s v="Samuel Kiptoo  "/>
    <x v="5"/>
    <s v="P013"/>
    <s v="Kitchen Knife Set"/>
    <x v="0"/>
    <n v="2"/>
    <n v="2"/>
    <n v="1250"/>
    <n v="1250"/>
    <s v=""/>
    <s v=""/>
    <n v="800"/>
    <x v="0"/>
    <n v="2500"/>
    <n v="1600"/>
    <n v="900"/>
    <n v="0.36"/>
    <x v="0"/>
  </r>
  <r>
    <n v="10129"/>
    <s v="18/01/2024"/>
    <n v="45309"/>
    <s v="Eldoret"/>
    <x v="2"/>
    <s v="Faith Wanjiru"/>
    <x v="1"/>
    <s v="P009"/>
    <s v="Thermos Flask 1L"/>
    <x v="17"/>
    <n v="6"/>
    <n v="6"/>
    <n v="950"/>
    <n v="950"/>
    <s v=""/>
    <s v=""/>
    <n v="550"/>
    <x v="0"/>
    <n v="5700"/>
    <n v="3300"/>
    <n v="2400"/>
    <n v="0.42105263157894735"/>
    <x v="0"/>
  </r>
  <r>
    <n v="10265"/>
    <d v="2024-02-26T00:00:00"/>
    <n v="45348"/>
    <s v=" Mombasa"/>
    <x v="0"/>
    <s v="Mercy Njeri"/>
    <x v="3"/>
    <s v="P013"/>
    <s v="Kitchen Knife Set"/>
    <x v="0"/>
    <n v="15"/>
    <n v="15"/>
    <n v="1400"/>
    <n v="1400"/>
    <s v=""/>
    <s v=""/>
    <n v="800"/>
    <x v="0"/>
    <n v="21000"/>
    <n v="12000"/>
    <n v="9000"/>
    <n v="0.42857142857142855"/>
    <x v="2"/>
  </r>
  <r>
    <n v="10123"/>
    <d v="2024-02-03T00:00:00"/>
    <n v="45325"/>
    <s v="Thika"/>
    <x v="4"/>
    <s v="Mercy Njeri"/>
    <x v="3"/>
    <s v="P013"/>
    <s v="Kitchen Knife Set"/>
    <x v="0"/>
    <n v="8"/>
    <n v="8"/>
    <n v="1300"/>
    <n v="1300"/>
    <s v=""/>
    <s v=""/>
    <n v="800"/>
    <x v="0"/>
    <n v="10400"/>
    <n v="6400"/>
    <n v="4000"/>
    <n v="0.38461538461538464"/>
    <x v="2"/>
  </r>
  <r>
    <n v="10245"/>
    <d v="2024-01-18T00:00:00"/>
    <n v="45309"/>
    <s v="nakuru"/>
    <x v="1"/>
    <s v="Grace Achieng"/>
    <x v="2"/>
    <s v="P009"/>
    <s v="Thermos Flask 1L"/>
    <x v="17"/>
    <n v="15"/>
    <n v="15"/>
    <n v="850"/>
    <n v="850"/>
    <s v=""/>
    <s v=""/>
    <n v="550"/>
    <x v="0"/>
    <n v="12750"/>
    <n v="8250"/>
    <n v="4500"/>
    <n v="0.35294117647058826"/>
    <x v="0"/>
  </r>
  <r>
    <n v="10177"/>
    <d v="2024-03-12T00:00:00"/>
    <n v="45363"/>
    <s v="Eldoret"/>
    <x v="2"/>
    <s v="aisha hassan"/>
    <x v="4"/>
    <s v="P007"/>
    <s v="MOSQUITO NET - FAMILY SIZE"/>
    <x v="10"/>
    <n v="20"/>
    <n v="20"/>
    <n v="700"/>
    <n v="700"/>
    <s v=""/>
    <s v=""/>
    <n v="400"/>
    <x v="1"/>
    <n v="14000"/>
    <n v="8000"/>
    <n v="6000"/>
    <n v="0.42857142857142855"/>
    <x v="1"/>
  </r>
  <r>
    <n v="10316"/>
    <d v="2024-03-02T00:00:00"/>
    <n v="45353"/>
    <s v="Kisumu "/>
    <x v="3"/>
    <s v="  John Mwangi"/>
    <x v="7"/>
    <s v="P013"/>
    <s v="Kitchen Knife Set "/>
    <x v="0"/>
    <n v="8"/>
    <n v="8"/>
    <n v="1300"/>
    <n v="1300"/>
    <s v=""/>
    <s v=""/>
    <n v="800"/>
    <x v="0"/>
    <n v="10400"/>
    <n v="6400"/>
    <n v="4000"/>
    <n v="0.38461538461538464"/>
    <x v="1"/>
  </r>
  <r>
    <n v="10092"/>
    <d v="2024-03-13T00:00:00"/>
    <n v="45364"/>
    <s v="Thika"/>
    <x v="4"/>
    <s v="Mercy Njeri"/>
    <x v="3"/>
    <s v="P014"/>
    <s v="LED Bulb 9W (Pack of 4) "/>
    <x v="9"/>
    <n v="20"/>
    <n v="20"/>
    <n v="780"/>
    <n v="780"/>
    <s v=""/>
    <s v=""/>
    <n v="480"/>
    <x v="3"/>
    <n v="15600"/>
    <n v="9600"/>
    <n v="6000"/>
    <n v="0.38461538461538464"/>
    <x v="1"/>
  </r>
  <r>
    <n v="10253"/>
    <d v="2024-01-22T00:00:00"/>
    <n v="45313"/>
    <s v="Nairobi"/>
    <x v="5"/>
    <s v="  Aisha Hassan"/>
    <x v="4"/>
    <s v="P006"/>
    <s v="plastic storage basket l "/>
    <x v="3"/>
    <n v="4"/>
    <n v="4"/>
    <n v="420"/>
    <n v="420"/>
    <s v=""/>
    <s v=""/>
    <n v="250"/>
    <x v="1"/>
    <n v="1680"/>
    <n v="1000"/>
    <n v="680"/>
    <n v="0.40476190476190477"/>
    <x v="0"/>
  </r>
  <r>
    <n v="10279"/>
    <d v="2024-02-16T00:00:00"/>
    <n v="45338"/>
    <s v="mombasa"/>
    <x v="0"/>
    <s v="Mercy Njeri"/>
    <x v="3"/>
    <s v="P015"/>
    <s v="Water Dispenser Stand"/>
    <x v="2"/>
    <n v="10"/>
    <n v="10"/>
    <n v="2350"/>
    <n v="2350"/>
    <s v=""/>
    <s v=""/>
    <n v="1500"/>
    <x v="1"/>
    <n v="23500"/>
    <n v="15000"/>
    <n v="8500"/>
    <n v="0.36170212765957449"/>
    <x v="2"/>
  </r>
  <r>
    <n v="10232"/>
    <s v="23/03/2024"/>
    <n v="45374"/>
    <s v="mombasa"/>
    <x v="0"/>
    <s v="Faith Wanjiru"/>
    <x v="1"/>
    <s v="P005"/>
    <s v="Non-Stick Frying Pan 28cm"/>
    <x v="14"/>
    <n v="20"/>
    <n v="20"/>
    <n v="1150"/>
    <n v="1150"/>
    <s v=""/>
    <s v=""/>
    <n v="700"/>
    <x v="0"/>
    <n v="23000"/>
    <n v="14000"/>
    <n v="9000"/>
    <n v="0.39130434782608697"/>
    <x v="1"/>
  </r>
  <r>
    <n v="10153"/>
    <d v="2024-03-10T00:00:00"/>
    <n v="45361"/>
    <s v="Thika"/>
    <x v="4"/>
    <s v="John Mwangi"/>
    <x v="7"/>
    <s v="P009"/>
    <s v="Thermos Flask 1L"/>
    <x v="17"/>
    <n v="1"/>
    <n v="1"/>
    <n v="850"/>
    <n v="850"/>
    <s v=""/>
    <s v=""/>
    <n v="550"/>
    <x v="0"/>
    <n v="850"/>
    <n v="550"/>
    <n v="300"/>
    <n v="0.35294117647058826"/>
    <x v="1"/>
  </r>
  <r>
    <n v="10060"/>
    <d v="2024-02-23T00:00:00"/>
    <n v="45345"/>
    <s v="KISUMU"/>
    <x v="3"/>
    <s v="Samuel Kiptoo"/>
    <x v="5"/>
    <s v="P014"/>
    <s v="LED Bulb 9W (Pack of 4)"/>
    <x v="9"/>
    <n v="1"/>
    <n v="1"/>
    <n v="780"/>
    <n v="780"/>
    <s v=""/>
    <s v=""/>
    <n v="480"/>
    <x v="3"/>
    <n v="780"/>
    <n v="480"/>
    <n v="300"/>
    <n v="0.38461538461538464"/>
    <x v="2"/>
  </r>
  <r>
    <n v="10238"/>
    <d v="2024-01-16T00:00:00"/>
    <n v="45307"/>
    <s v="nakuru"/>
    <x v="1"/>
    <s v="John Mwangi"/>
    <x v="7"/>
    <s v="P014"/>
    <s v="LED Bulb 9W (Pack of 4)"/>
    <x v="9"/>
    <n v="20"/>
    <n v="20"/>
    <n v="880"/>
    <n v="880"/>
    <s v=""/>
    <s v=""/>
    <n v="480"/>
    <x v="3"/>
    <n v="17600"/>
    <n v="9600"/>
    <n v="8000"/>
    <n v="0.45454545454545453"/>
    <x v="0"/>
  </r>
  <r>
    <n v="10256"/>
    <d v="2024-02-27T00:00:00"/>
    <n v="45349"/>
    <s v="Nairobi"/>
    <x v="5"/>
    <s v="Grace Achieng"/>
    <x v="2"/>
    <s v="P013"/>
    <s v="Kitchen Knife Set"/>
    <x v="0"/>
    <m/>
    <n v="0"/>
    <n v="1300"/>
    <n v="1300"/>
    <s v=""/>
    <s v=""/>
    <n v="800"/>
    <x v="0"/>
    <n v="0"/>
    <n v="0"/>
    <n v="0"/>
    <n v="0"/>
    <x v="2"/>
  </r>
  <r>
    <n v="10069"/>
    <d v="2024-01-18T00:00:00"/>
    <n v="45309"/>
    <s v="Thika"/>
    <x v="4"/>
    <s v="  Grace Achieng"/>
    <x v="2"/>
    <s v="P015"/>
    <s v="Water Dispenser Stand"/>
    <x v="2"/>
    <n v="20"/>
    <n v="20"/>
    <n v="2250"/>
    <n v="2250"/>
    <s v=""/>
    <s v=""/>
    <n v="1500"/>
    <x v="1"/>
    <n v="45000"/>
    <n v="30000"/>
    <n v="15000"/>
    <n v="0.33333333333333331"/>
    <x v="0"/>
  </r>
  <r>
    <n v="10158"/>
    <d v="2024-01-27T00:00:00"/>
    <n v="45318"/>
    <s v="Eldoret"/>
    <x v="2"/>
    <s v="Peter Otieno"/>
    <x v="0"/>
    <s v="P013"/>
    <s v="Kitchen Knife Set"/>
    <x v="0"/>
    <n v="8"/>
    <n v="8"/>
    <n v="1250"/>
    <n v="1250"/>
    <s v=""/>
    <s v=""/>
    <n v="800"/>
    <x v="0"/>
    <n v="10000"/>
    <n v="6400"/>
    <n v="3600"/>
    <n v="0.36"/>
    <x v="0"/>
  </r>
  <r>
    <n v="10313"/>
    <d v="2024-03-20T00:00:00"/>
    <n v="45371"/>
    <s v="Mombasa "/>
    <x v="0"/>
    <s v="Grace Achieng"/>
    <x v="2"/>
    <s v="P011"/>
    <s v="PADLOCK SET (3PC)"/>
    <x v="5"/>
    <n v="8"/>
    <n v="8"/>
    <n v="700"/>
    <n v="700"/>
    <s v=""/>
    <s v=""/>
    <n v="450"/>
    <x v="2"/>
    <n v="5600"/>
    <n v="3600"/>
    <n v="2000"/>
    <n v="0.35714285714285715"/>
    <x v="1"/>
  </r>
  <r>
    <n v="10318"/>
    <d v="2024-02-11T00:00:00"/>
    <n v="45333"/>
    <s v="Nairobi"/>
    <x v="5"/>
    <s v="Peter Otieno"/>
    <x v="0"/>
    <s v="P001"/>
    <s v="20L Jerrycan - Blue"/>
    <x v="1"/>
    <n v="12"/>
    <n v="12"/>
    <n v="500"/>
    <n v="500"/>
    <s v=""/>
    <s v=""/>
    <n v="350"/>
    <x v="1"/>
    <n v="6000"/>
    <n v="4200"/>
    <n v="1800"/>
    <n v="0.3"/>
    <x v="2"/>
  </r>
  <r>
    <n v="10007"/>
    <d v="2024-02-03T00:00:00"/>
    <n v="45325"/>
    <s v="mombasa"/>
    <x v="0"/>
    <s v="  Faith Wanjiru"/>
    <x v="1"/>
    <s v="P012"/>
    <s v="Garden Hose 20m"/>
    <x v="4"/>
    <n v="12"/>
    <n v="12"/>
    <n v="1800"/>
    <n v="1800"/>
    <s v=""/>
    <s v=""/>
    <n v="1100"/>
    <x v="2"/>
    <n v="21600"/>
    <n v="13200"/>
    <n v="8400"/>
    <n v="0.3888888888888889"/>
    <x v="2"/>
  </r>
  <r>
    <n v="10048"/>
    <d v="2024-01-13T00:00:00"/>
    <n v="45304"/>
    <s v="mombasa"/>
    <x v="0"/>
    <s v="Samuel Kiptoo"/>
    <x v="5"/>
    <s v="P004"/>
    <s v="Cooking Gas Burner CB-2"/>
    <x v="12"/>
    <n v="6"/>
    <n v="6"/>
    <n v="1850"/>
    <n v="1850"/>
    <s v=""/>
    <s v=""/>
    <n v="1200"/>
    <x v="0"/>
    <n v="11100"/>
    <n v="7200"/>
    <n v="3900"/>
    <n v="0.35135135135135137"/>
    <x v="0"/>
  </r>
  <r>
    <n v="10034"/>
    <d v="2024-02-24T00:00:00"/>
    <n v="45346"/>
    <s v="Eldoret "/>
    <x v="2"/>
    <s v="  Aisha Hassan"/>
    <x v="4"/>
    <s v="P015"/>
    <s v="Water Dispenser Stand"/>
    <x v="2"/>
    <n v="3"/>
    <n v="3"/>
    <n v="2350"/>
    <n v="2350"/>
    <s v=""/>
    <s v=""/>
    <n v="1500"/>
    <x v="1"/>
    <n v="7050"/>
    <n v="4500"/>
    <n v="2550"/>
    <n v="0.36170212765957449"/>
    <x v="2"/>
  </r>
  <r>
    <n v="10049"/>
    <d v="2024-01-02T00:00:00"/>
    <n v="45293"/>
    <s v="Eldoret"/>
    <x v="2"/>
    <s v="  Samuel Kiptoo"/>
    <x v="5"/>
    <s v="P008"/>
    <s v="USB Wall Charger UC-5 "/>
    <x v="6"/>
    <n v="10"/>
    <n v="10"/>
    <n v="550"/>
    <n v="550"/>
    <s v=""/>
    <s v=""/>
    <n v="300"/>
    <x v="3"/>
    <n v="5500"/>
    <n v="3000"/>
    <n v="2500"/>
    <n v="0.45454545454545453"/>
    <x v="0"/>
  </r>
  <r>
    <n v="10200"/>
    <d v="2024-02-22T00:00:00"/>
    <n v="45344"/>
    <s v="Nairobi"/>
    <x v="5"/>
    <s v="Faith Wanjiru  "/>
    <x v="1"/>
    <s v="P009"/>
    <s v="Thermos Flask 1L"/>
    <x v="17"/>
    <n v="6"/>
    <n v="6"/>
    <m/>
    <n v="0"/>
    <s v=""/>
    <s v=""/>
    <n v="550"/>
    <x v="0"/>
    <n v="0"/>
    <n v="3300"/>
    <n v="-3300"/>
    <n v="0"/>
    <x v="2"/>
  </r>
  <r>
    <n v="10039"/>
    <d v="2024-02-02T00:00:00"/>
    <n v="45324"/>
    <s v="Nairobi"/>
    <x v="5"/>
    <s v="aisha hassan"/>
    <x v="4"/>
    <s v="P001"/>
    <s v="20L Jerrycan - Blue "/>
    <x v="1"/>
    <n v="12"/>
    <n v="12"/>
    <n v="500"/>
    <n v="500"/>
    <s v=""/>
    <s v=""/>
    <n v="350"/>
    <x v="1"/>
    <n v="6000"/>
    <n v="4200"/>
    <n v="1800"/>
    <n v="0.3"/>
    <x v="2"/>
  </r>
  <r>
    <n v="10324"/>
    <d v="2024-03-29T00:00:00"/>
    <n v="45380"/>
    <s v="nakuru"/>
    <x v="1"/>
    <s v="Mercy Njeri"/>
    <x v="3"/>
    <s v="P012"/>
    <s v="Garden Hose 20m"/>
    <x v="4"/>
    <n v="3"/>
    <n v="3"/>
    <n v="1700"/>
    <n v="1700"/>
    <s v=""/>
    <s v=""/>
    <n v="1100"/>
    <x v="2"/>
    <n v="5100"/>
    <n v="3300"/>
    <n v="1800"/>
    <n v="0.35294117647058826"/>
    <x v="1"/>
  </r>
  <r>
    <n v="10190"/>
    <d v="2024-08-02T00:00:00"/>
    <n v="45506"/>
    <s v=" Mombasa"/>
    <x v="0"/>
    <s v="Faith Wanjiru"/>
    <x v="1"/>
    <s v="P012"/>
    <s v="Garden Hose 20m"/>
    <x v="4"/>
    <n v="8"/>
    <n v="8"/>
    <n v="1700"/>
    <n v="1700"/>
    <s v=""/>
    <s v=""/>
    <n v="1100"/>
    <x v="2"/>
    <n v="13600"/>
    <n v="8800"/>
    <n v="4800"/>
    <n v="0.35294117647058826"/>
    <x v="3"/>
  </r>
  <r>
    <n v="10259"/>
    <d v="2024-01-23T00:00:00"/>
    <n v="45314"/>
    <s v="Thika"/>
    <x v="4"/>
    <s v="Peter Otieno"/>
    <x v="0"/>
    <s v="P012"/>
    <s v="Garden Hose 20m"/>
    <x v="4"/>
    <n v="3"/>
    <n v="3"/>
    <n v="1650"/>
    <n v="1650"/>
    <s v=""/>
    <s v=""/>
    <n v="1100"/>
    <x v="2"/>
    <n v="4950"/>
    <n v="3300"/>
    <n v="1650"/>
    <n v="0.33333333333333331"/>
    <x v="0"/>
  </r>
  <r>
    <n v="10229"/>
    <d v="2024-03-03T00:00:00"/>
    <n v="45354"/>
    <s v="Eldoret "/>
    <x v="2"/>
    <s v="Mercy Njeri"/>
    <x v="3"/>
    <s v="P014"/>
    <s v="LED Bulb 9W (Pack of 4) "/>
    <x v="9"/>
    <n v="1"/>
    <n v="1"/>
    <n v="880"/>
    <n v="880"/>
    <s v=""/>
    <s v=""/>
    <n v="480"/>
    <x v="3"/>
    <n v="880"/>
    <n v="480"/>
    <n v="400"/>
    <n v="0.45454545454545453"/>
    <x v="1"/>
  </r>
  <r>
    <n v="10302"/>
    <d v="2024-02-04T00:00:00"/>
    <n v="45326"/>
    <s v="mombasa"/>
    <x v="0"/>
    <s v="Faith Wanjiru"/>
    <x v="1"/>
    <s v="P008"/>
    <s v="USB Wall Charger UC-5"/>
    <x v="6"/>
    <n v="4"/>
    <n v="4"/>
    <n v="500"/>
    <n v="500"/>
    <s v=""/>
    <s v=""/>
    <n v="300"/>
    <x v="3"/>
    <n v="2000"/>
    <n v="1200"/>
    <n v="800"/>
    <n v="0.4"/>
    <x v="2"/>
  </r>
  <r>
    <n v="10240"/>
    <s v="27/01/2024"/>
    <n v="45318"/>
    <s v="mombasa"/>
    <x v="0"/>
    <s v="Peter Otieno"/>
    <x v="0"/>
    <s v="P008"/>
    <s v="USB Wall Charger UC-5"/>
    <x v="6"/>
    <n v="2"/>
    <n v="2"/>
    <n v="500"/>
    <n v="500"/>
    <s v=""/>
    <s v=""/>
    <n v="300"/>
    <x v="3"/>
    <n v="1000"/>
    <n v="600"/>
    <n v="400"/>
    <n v="0.4"/>
    <x v="0"/>
  </r>
  <r>
    <n v="10191"/>
    <d v="2024-02-16T00:00:00"/>
    <n v="45338"/>
    <s v="KISUMU"/>
    <x v="3"/>
    <s v="Peter Otieno"/>
    <x v="0"/>
    <s v="P007"/>
    <s v="MOSQUITO NET - FAMILY SIZE"/>
    <x v="10"/>
    <n v="15"/>
    <n v="15"/>
    <n v="700"/>
    <n v="700"/>
    <s v=""/>
    <s v=""/>
    <n v="400"/>
    <x v="1"/>
    <n v="10500"/>
    <n v="6000"/>
    <n v="4500"/>
    <n v="0.42857142857142855"/>
    <x v="2"/>
  </r>
  <r>
    <n v="10114"/>
    <d v="2024-02-07T00:00:00"/>
    <n v="45329"/>
    <s v="KISUMU"/>
    <x v="3"/>
    <s v="Peter Otieno"/>
    <x v="0"/>
    <s v="P012"/>
    <s v="Garden Hose 20m"/>
    <x v="4"/>
    <n v="20"/>
    <n v="20"/>
    <n v="1700"/>
    <n v="1700"/>
    <s v=""/>
    <s v=""/>
    <n v="1100"/>
    <x v="2"/>
    <n v="34000"/>
    <n v="22000"/>
    <n v="12000"/>
    <n v="0.35294117647058826"/>
    <x v="2"/>
  </r>
  <r>
    <n v="10156"/>
    <d v="2024-08-02T00:00:00"/>
    <n v="45506"/>
    <s v="Thika"/>
    <x v="4"/>
    <s v="  Grace Achieng"/>
    <x v="2"/>
    <s v="P011"/>
    <s v="PADLOCK SET (3PC)"/>
    <x v="5"/>
    <n v="20"/>
    <n v="20"/>
    <n v="650"/>
    <n v="650"/>
    <s v=""/>
    <s v=""/>
    <n v="450"/>
    <x v="2"/>
    <n v="13000"/>
    <n v="9000"/>
    <n v="4000"/>
    <n v="0.30769230769230771"/>
    <x v="3"/>
  </r>
  <r>
    <n v="10211"/>
    <d v="2024-02-15T00:00:00"/>
    <n v="45337"/>
    <s v="mombasa"/>
    <x v="0"/>
    <s v="Peter Otieno"/>
    <x v="0"/>
    <s v="P004"/>
    <s v="Cooking Gas Burner CB-2"/>
    <x v="12"/>
    <n v="15"/>
    <n v="15"/>
    <n v="1850"/>
    <n v="1850"/>
    <s v=""/>
    <s v=""/>
    <n v="1200"/>
    <x v="0"/>
    <n v="27750"/>
    <n v="18000"/>
    <n v="9750"/>
    <n v="0.35135135135135137"/>
    <x v="2"/>
  </r>
  <r>
    <n v="10212"/>
    <d v="2024-03-04T00:00:00"/>
    <n v="45355"/>
    <m/>
    <x v="6"/>
    <s v="Samuel Kiptoo"/>
    <x v="5"/>
    <s v="P003"/>
    <s v="RECHARGEABLE TORCH RT-10"/>
    <x v="8"/>
    <n v="10"/>
    <n v="10"/>
    <n v="900"/>
    <n v="900"/>
    <s v=""/>
    <s v=""/>
    <n v="600"/>
    <x v="3"/>
    <n v="9000"/>
    <n v="6000"/>
    <n v="3000"/>
    <n v="0.33333333333333331"/>
    <x v="1"/>
  </r>
  <r>
    <n v="10164"/>
    <d v="2024-03-04T00:00:00"/>
    <n v="45355"/>
    <s v="Eldoret"/>
    <x v="2"/>
    <s v="Faith Wanjiru"/>
    <x v="1"/>
    <s v="P008"/>
    <s v="USB Wall Charger UC-5"/>
    <x v="6"/>
    <n v="2"/>
    <n v="2"/>
    <n v="500"/>
    <n v="500"/>
    <s v=""/>
    <s v=""/>
    <n v="300"/>
    <x v="3"/>
    <n v="1000"/>
    <n v="600"/>
    <n v="400"/>
    <n v="0.4"/>
    <x v="1"/>
  </r>
  <r>
    <n v="10297"/>
    <d v="2024-03-06T00:00:00"/>
    <n v="45357"/>
    <s v="Eldoret"/>
    <x v="2"/>
    <s v="  Faith Wanjiru"/>
    <x v="1"/>
    <s v="P010"/>
    <s v="Wheelbarrow - Heavy Duty"/>
    <x v="15"/>
    <n v="3"/>
    <n v="3"/>
    <n v="5150"/>
    <n v="5150"/>
    <s v=""/>
    <s v=""/>
    <n v="3500"/>
    <x v="2"/>
    <n v="15450"/>
    <n v="10500"/>
    <n v="4950"/>
    <n v="0.32038834951456313"/>
    <x v="1"/>
  </r>
  <r>
    <n v="10266"/>
    <s v="18/02/2024"/>
    <n v="45340"/>
    <s v="Nairobi"/>
    <x v="5"/>
    <s v="Brian Mutua"/>
    <x v="6"/>
    <s v="P005"/>
    <s v="Non-Stick Frying Pan 28cm"/>
    <x v="14"/>
    <n v="12"/>
    <n v="12"/>
    <n v="1100"/>
    <n v="1100"/>
    <s v=""/>
    <s v=""/>
    <n v="700"/>
    <x v="0"/>
    <n v="13200"/>
    <n v="8400"/>
    <n v="4800"/>
    <n v="0.36363636363636365"/>
    <x v="2"/>
  </r>
  <r>
    <n v="10095"/>
    <d v="2024-08-03T00:00:00"/>
    <n v="45507"/>
    <s v="Eldoret"/>
    <x v="2"/>
    <s v="Peter Otieno"/>
    <x v="0"/>
    <s v="P006"/>
    <s v="Plastic Storage Basket (L)"/>
    <x v="16"/>
    <n v="6"/>
    <n v="6"/>
    <n v="420"/>
    <n v="420"/>
    <s v=""/>
    <s v=""/>
    <n v="250"/>
    <x v="1"/>
    <n v="2520"/>
    <n v="1500"/>
    <n v="1020"/>
    <n v="0.40476190476190477"/>
    <x v="3"/>
  </r>
  <r>
    <n v="10061"/>
    <d v="2024-02-18T00:00:00"/>
    <n v="45340"/>
    <s v="nakuru"/>
    <x v="1"/>
    <s v="Mercy Njeri"/>
    <x v="3"/>
    <s v="P014"/>
    <s v="LED Bulb 9W (Pack of 4)"/>
    <x v="9"/>
    <n v="4"/>
    <n v="4"/>
    <n v="780"/>
    <n v="780"/>
    <s v=""/>
    <s v=""/>
    <n v="480"/>
    <x v="3"/>
    <n v="3120"/>
    <n v="1920"/>
    <n v="1200"/>
    <n v="0.38461538461538464"/>
    <x v="2"/>
  </r>
  <r>
    <n v="10339"/>
    <d v="2024-02-22T00:00:00"/>
    <n v="45344"/>
    <s v="nakuru"/>
    <x v="1"/>
    <s v="Mercy Njeri"/>
    <x v="3"/>
    <s v="P006"/>
    <s v="Plastic Storage Basket L"/>
    <x v="3"/>
    <n v="4"/>
    <n v="4"/>
    <n v="420"/>
    <n v="420"/>
    <s v=""/>
    <s v=""/>
    <n v="250"/>
    <x v="1"/>
    <n v="1680"/>
    <n v="1000"/>
    <n v="680"/>
    <n v="0.40476190476190477"/>
    <x v="2"/>
  </r>
  <r>
    <n v="10163"/>
    <d v="2024-03-07T00:00:00"/>
    <n v="45358"/>
    <s v=" Mombasa"/>
    <x v="0"/>
    <s v="Brian Mutua"/>
    <x v="6"/>
    <s v="P003"/>
    <s v="RECHARGEABLE TORCH RT-10"/>
    <x v="8"/>
    <n v="3"/>
    <n v="3"/>
    <n v="950"/>
    <n v="950"/>
    <s v=""/>
    <s v=""/>
    <n v="600"/>
    <x v="3"/>
    <n v="2850"/>
    <n v="1800"/>
    <n v="1050"/>
    <n v="0.36842105263157893"/>
    <x v="1"/>
  </r>
  <r>
    <n v="10309"/>
    <d v="2024-02-14T00:00:00"/>
    <n v="45336"/>
    <s v="Nairobi"/>
    <x v="5"/>
    <s v="Brian Mutua"/>
    <x v="6"/>
    <s v="P002"/>
    <s v="Solar Lantern SL-200"/>
    <x v="11"/>
    <n v="6"/>
    <n v="6"/>
    <n v="1550"/>
    <n v="1550"/>
    <s v=""/>
    <s v=""/>
    <n v="900"/>
    <x v="3"/>
    <n v="9300"/>
    <n v="5400"/>
    <n v="3900"/>
    <n v="0.41935483870967744"/>
    <x v="2"/>
  </r>
  <r>
    <n v="10075"/>
    <d v="2024-02-15T00:00:00"/>
    <n v="45337"/>
    <s v="Nairobi"/>
    <x v="5"/>
    <s v="Brian Mutua"/>
    <x v="6"/>
    <s v="P005"/>
    <s v="Non-Stick Frying Pan 28cm"/>
    <x v="14"/>
    <n v="4"/>
    <n v="4"/>
    <n v="1050"/>
    <n v="1050"/>
    <s v=""/>
    <s v=""/>
    <n v="700"/>
    <x v="0"/>
    <n v="4200"/>
    <n v="2800"/>
    <n v="1400"/>
    <n v="0.33333333333333331"/>
    <x v="2"/>
  </r>
  <r>
    <n v="10221"/>
    <d v="2024-01-27T00:00:00"/>
    <n v="45318"/>
    <s v="mombasa"/>
    <x v="0"/>
    <s v="Samuel Kiptoo"/>
    <x v="5"/>
    <s v="P002"/>
    <s v="Solar Lantern SL-200"/>
    <x v="11"/>
    <n v="10"/>
    <n v="10"/>
    <n v="1400"/>
    <n v="1400"/>
    <s v=""/>
    <s v=""/>
    <n v="900"/>
    <x v="3"/>
    <n v="14000"/>
    <n v="9000"/>
    <n v="5000"/>
    <n v="0.35714285714285715"/>
    <x v="0"/>
  </r>
  <r>
    <n v="10070"/>
    <d v="2024-02-16T00:00:00"/>
    <n v="45338"/>
    <s v="Eldoret"/>
    <x v="2"/>
    <s v="Samuel Kiptoo"/>
    <x v="5"/>
    <s v="P014"/>
    <s v="LED Bulb 9W (Pack of 4)"/>
    <x v="9"/>
    <n v="3"/>
    <n v="3"/>
    <n v="780"/>
    <n v="780"/>
    <s v=""/>
    <s v=""/>
    <n v="480"/>
    <x v="3"/>
    <n v="2340"/>
    <n v="1440"/>
    <n v="900"/>
    <n v="0.38461538461538464"/>
    <x v="2"/>
  </r>
  <r>
    <n v="10269"/>
    <d v="2024-03-26T00:00:00"/>
    <n v="45377"/>
    <s v="KISUMU"/>
    <x v="3"/>
    <s v="aisha hassan"/>
    <x v="4"/>
    <s v="P004"/>
    <s v="Cooking Gas Burner CB-2"/>
    <x v="12"/>
    <n v="20"/>
    <n v="20"/>
    <n v="1950"/>
    <n v="1950"/>
    <s v=""/>
    <s v=""/>
    <n v="1200"/>
    <x v="0"/>
    <n v="39000"/>
    <n v="24000"/>
    <n v="15000"/>
    <n v="0.38461538461538464"/>
    <x v="1"/>
  </r>
  <r>
    <n v="10159"/>
    <d v="2024-03-29T00:00:00"/>
    <n v="45380"/>
    <s v="Thika"/>
    <x v="4"/>
    <s v="Grace Achieng"/>
    <x v="2"/>
    <s v="P009"/>
    <s v="Thermos Flask 1L"/>
    <x v="17"/>
    <n v="6"/>
    <n v="6"/>
    <n v="850"/>
    <n v="850"/>
    <s v=""/>
    <s v=""/>
    <n v="550"/>
    <x v="0"/>
    <n v="5100"/>
    <n v="3300"/>
    <n v="1800"/>
    <n v="0.35294117647058826"/>
    <x v="1"/>
  </r>
  <r>
    <n v="10275"/>
    <d v="2024-03-23T00:00:00"/>
    <n v="45374"/>
    <s v="KISUMU"/>
    <x v="3"/>
    <s v="John Mwangi"/>
    <x v="7"/>
    <s v="P009"/>
    <s v="Thermos Flask 1L"/>
    <x v="17"/>
    <n v="12"/>
    <n v="12"/>
    <m/>
    <n v="0"/>
    <s v=""/>
    <s v=""/>
    <n v="550"/>
    <x v="0"/>
    <n v="0"/>
    <n v="6600"/>
    <n v="-6600"/>
    <n v="0"/>
    <x v="1"/>
  </r>
  <r>
    <n v="10104"/>
    <s v="15/01/2024"/>
    <n v="45306"/>
    <s v="nakuru"/>
    <x v="1"/>
    <s v="John Mwangi"/>
    <x v="7"/>
    <s v="P011"/>
    <s v="PADLOCK SET (3PC)"/>
    <x v="5"/>
    <n v="12"/>
    <n v="12"/>
    <n v="800"/>
    <n v="800"/>
    <s v=""/>
    <s v=""/>
    <n v="450"/>
    <x v="2"/>
    <n v="9600"/>
    <n v="5400"/>
    <n v="4200"/>
    <n v="0.4375"/>
    <x v="0"/>
  </r>
  <r>
    <n v="10290"/>
    <d v="2024-12-01T00:00:00"/>
    <n v="45627"/>
    <s v="nakuru"/>
    <x v="1"/>
    <s v="Peter Otieno"/>
    <x v="0"/>
    <s v="P015"/>
    <s v="Water Dispenser Stand"/>
    <x v="2"/>
    <n v="15"/>
    <n v="15"/>
    <n v="2400"/>
    <n v="2400"/>
    <s v=""/>
    <s v=""/>
    <n v="1500"/>
    <x v="1"/>
    <n v="36000"/>
    <n v="22500"/>
    <n v="13500"/>
    <n v="0.375"/>
    <x v="9"/>
  </r>
  <r>
    <n v="10106"/>
    <d v="2024-02-12T00:00:00"/>
    <n v="45334"/>
    <s v="mombasa"/>
    <x v="0"/>
    <s v="John Mwangi"/>
    <x v="7"/>
    <s v="P006"/>
    <s v="Plastic Storage Basket (L)"/>
    <x v="16"/>
    <n v="12"/>
    <n v="12"/>
    <n v="420"/>
    <n v="420"/>
    <s v=""/>
    <s v=""/>
    <n v="250"/>
    <x v="1"/>
    <n v="5040"/>
    <n v="3000"/>
    <n v="2040"/>
    <n v="0.40476190476190477"/>
    <x v="2"/>
  </r>
  <r>
    <n v="10068"/>
    <d v="2024-05-02T00:00:00"/>
    <n v="45414"/>
    <s v="Nairobi"/>
    <x v="5"/>
    <s v="John Mwangi"/>
    <x v="7"/>
    <s v="P015"/>
    <s v="Water Dispenser Stand"/>
    <x v="2"/>
    <n v="15"/>
    <n v="15"/>
    <n v="2350"/>
    <n v="2350"/>
    <s v=""/>
    <s v=""/>
    <n v="1500"/>
    <x v="1"/>
    <n v="35250"/>
    <n v="22500"/>
    <n v="12750"/>
    <n v="0.36170212765957449"/>
    <x v="7"/>
  </r>
  <r>
    <n v="10278"/>
    <s v="19/03/2024"/>
    <n v="45370"/>
    <s v="Thika"/>
    <x v="4"/>
    <s v="Samuel Kiptoo"/>
    <x v="5"/>
    <s v="P012"/>
    <s v="Garden Hose 20m"/>
    <x v="4"/>
    <n v="15"/>
    <n v="15"/>
    <n v="1700"/>
    <n v="1700"/>
    <s v=""/>
    <s v=""/>
    <n v="1100"/>
    <x v="2"/>
    <n v="25500"/>
    <n v="16500"/>
    <n v="9000"/>
    <n v="0.35294117647058826"/>
    <x v="1"/>
  </r>
  <r>
    <n v="10230"/>
    <d v="2024-01-05T00:00:00"/>
    <n v="45296"/>
    <s v="nakuru"/>
    <x v="1"/>
    <s v="John Mwangi"/>
    <x v="7"/>
    <s v="P015"/>
    <s v="Water Dispenser Stand"/>
    <x v="2"/>
    <n v="6"/>
    <n v="6"/>
    <n v="2300"/>
    <n v="2300"/>
    <s v=""/>
    <s v=""/>
    <n v="1500"/>
    <x v="1"/>
    <n v="13800"/>
    <n v="9000"/>
    <n v="4800"/>
    <n v="0.34782608695652173"/>
    <x v="0"/>
  </r>
  <r>
    <n v="10169"/>
    <d v="2024-02-21T00:00:00"/>
    <n v="45343"/>
    <s v="KISUMU"/>
    <x v="3"/>
    <s v="Brian Mutua"/>
    <x v="6"/>
    <s v="P002"/>
    <s v="Solar Lantern SL200"/>
    <x v="7"/>
    <n v="1"/>
    <n v="1"/>
    <n v="1400"/>
    <n v="1400"/>
    <s v=""/>
    <s v=""/>
    <n v="900"/>
    <x v="3"/>
    <n v="1400"/>
    <n v="900"/>
    <n v="500"/>
    <n v="0.35714285714285715"/>
    <x v="2"/>
  </r>
  <r>
    <n v="10160"/>
    <d v="2024-02-27T00:00:00"/>
    <n v="45349"/>
    <s v="Nakuru "/>
    <x v="1"/>
    <s v="Faith Wanjiru"/>
    <x v="1"/>
    <s v="P006"/>
    <s v="Plastic Storage Basket L"/>
    <x v="3"/>
    <n v="12"/>
    <n v="12"/>
    <n v="470"/>
    <n v="470"/>
    <s v=""/>
    <s v=""/>
    <n v="250"/>
    <x v="1"/>
    <n v="5640"/>
    <n v="3000"/>
    <n v="2640"/>
    <n v="0.46808510638297873"/>
    <x v="2"/>
  </r>
  <r>
    <n v="10219"/>
    <d v="2024-01-12T00:00:00"/>
    <n v="45303"/>
    <s v="KISUMU"/>
    <x v="3"/>
    <s v="aisha hassan"/>
    <x v="4"/>
    <s v="P012"/>
    <s v="Garden Hose 20m"/>
    <x v="4"/>
    <n v="1"/>
    <n v="1"/>
    <n v="1750"/>
    <n v="1750"/>
    <s v=""/>
    <s v=""/>
    <n v="1100"/>
    <x v="2"/>
    <n v="1750"/>
    <n v="1100"/>
    <n v="650"/>
    <n v="0.37142857142857144"/>
    <x v="0"/>
  </r>
  <r>
    <n v="10079"/>
    <d v="2024-02-26T00:00:00"/>
    <n v="45348"/>
    <s v="Nairobi"/>
    <x v="5"/>
    <s v="Grace Achieng"/>
    <x v="2"/>
    <s v="P006"/>
    <s v="Plastic Storage Basket (L)"/>
    <x v="16"/>
    <n v="15"/>
    <n v="15"/>
    <n v="420"/>
    <n v="420"/>
    <s v=""/>
    <s v=""/>
    <n v="250"/>
    <x v="1"/>
    <n v="6300"/>
    <n v="3750"/>
    <n v="2550"/>
    <n v="0.40476190476190477"/>
    <x v="2"/>
  </r>
  <r>
    <n v="10124"/>
    <d v="2024-03-28T00:00:00"/>
    <n v="45379"/>
    <s v="Eldoret"/>
    <x v="2"/>
    <s v="Grace Achieng"/>
    <x v="2"/>
    <s v="P003"/>
    <s v="RECHARGEABLE TORCH RT-10"/>
    <x v="8"/>
    <n v="2"/>
    <n v="2"/>
    <n v="1000"/>
    <n v="1000"/>
    <s v=""/>
    <s v=""/>
    <n v="600"/>
    <x v="3"/>
    <n v="2000"/>
    <n v="1200"/>
    <n v="800"/>
    <n v="0.4"/>
    <x v="1"/>
  </r>
  <r>
    <n v="10214"/>
    <d v="2024-02-08T00:00:00"/>
    <n v="45330"/>
    <s v="KISUMU"/>
    <x v="3"/>
    <s v="Peter Otieno"/>
    <x v="0"/>
    <s v="P003"/>
    <s v="RECHARGEABLE TORCH RT-10"/>
    <x v="8"/>
    <n v="8"/>
    <n v="8"/>
    <n v="1000"/>
    <n v="1000"/>
    <s v=""/>
    <s v=""/>
    <n v="600"/>
    <x v="3"/>
    <n v="8000"/>
    <n v="4800"/>
    <n v="3200"/>
    <n v="0.4"/>
    <x v="2"/>
  </r>
  <r>
    <n v="10117"/>
    <s v="29/01/2024"/>
    <n v="45320"/>
    <s v="KISUMU"/>
    <x v="3"/>
    <s v="Samuel Kiptoo"/>
    <x v="5"/>
    <s v="P014"/>
    <s v="LED Bulb 9W (Pack of 4)"/>
    <x v="9"/>
    <n v="2"/>
    <n v="2"/>
    <n v="780"/>
    <n v="780"/>
    <s v=""/>
    <s v=""/>
    <n v="480"/>
    <x v="3"/>
    <n v="1560"/>
    <n v="960"/>
    <n v="600"/>
    <n v="0.38461538461538464"/>
    <x v="0"/>
  </r>
  <r>
    <n v="10267"/>
    <d v="2024-03-25T00:00:00"/>
    <n v="45376"/>
    <s v="KISUMU"/>
    <x v="3"/>
    <s v="aisha hassan"/>
    <x v="4"/>
    <s v="P013"/>
    <s v="Kitchen Knife Set"/>
    <x v="0"/>
    <n v="15"/>
    <n v="15"/>
    <n v="1400"/>
    <n v="1400"/>
    <s v=""/>
    <s v=""/>
    <n v="800"/>
    <x v="0"/>
    <n v="21000"/>
    <n v="12000"/>
    <n v="9000"/>
    <n v="0.42857142857142855"/>
    <x v="1"/>
  </r>
  <r>
    <n v="10196"/>
    <d v="2024-03-13T00:00:00"/>
    <n v="45364"/>
    <m/>
    <x v="6"/>
    <s v="Mercy Njeri"/>
    <x v="3"/>
    <s v="P003"/>
    <s v="RECHARGEABLE TORCH RT-10"/>
    <x v="8"/>
    <n v="5"/>
    <n v="5"/>
    <n v="900"/>
    <n v="900"/>
    <s v=""/>
    <s v=""/>
    <n v="600"/>
    <x v="3"/>
    <n v="4500"/>
    <n v="3000"/>
    <n v="1500"/>
    <n v="0.33333333333333331"/>
    <x v="1"/>
  </r>
  <r>
    <n v="10045"/>
    <d v="2024-03-02T00:00:00"/>
    <n v="45353"/>
    <s v=" Kisumu"/>
    <x v="3"/>
    <s v="Samuel Kiptoo"/>
    <x v="5"/>
    <s v="P015"/>
    <s v="Water Dispenser Stand"/>
    <x v="2"/>
    <n v="15"/>
    <n v="15"/>
    <n v="2300"/>
    <n v="2300"/>
    <s v=""/>
    <s v=""/>
    <n v="1500"/>
    <x v="1"/>
    <n v="34500"/>
    <n v="22500"/>
    <n v="12000"/>
    <n v="0.34782608695652173"/>
    <x v="1"/>
  </r>
  <r>
    <n v="10071"/>
    <s v="27/03/2024"/>
    <n v="45378"/>
    <s v="Thika"/>
    <x v="4"/>
    <s v="Brian Mutua"/>
    <x v="6"/>
    <s v="P014"/>
    <s v="LED Bulb 9W (Pack of 4)"/>
    <x v="9"/>
    <n v="12"/>
    <n v="12"/>
    <n v="780"/>
    <n v="780"/>
    <s v=""/>
    <s v=""/>
    <n v="480"/>
    <x v="3"/>
    <n v="9360"/>
    <n v="5760"/>
    <n v="3600"/>
    <n v="0.38461538461538464"/>
    <x v="1"/>
  </r>
  <r>
    <n v="10310"/>
    <d v="2024-01-11T00:00:00"/>
    <n v="45302"/>
    <s v="Nakuru "/>
    <x v="1"/>
    <s v="Samuel Kiptoo"/>
    <x v="5"/>
    <s v="P008"/>
    <s v="USB Wall Charger UC-5"/>
    <x v="6"/>
    <n v="20"/>
    <n v="20"/>
    <n v="500"/>
    <n v="500"/>
    <s v=""/>
    <s v=""/>
    <n v="300"/>
    <x v="3"/>
    <n v="10000"/>
    <n v="6000"/>
    <n v="4000"/>
    <n v="0.4"/>
    <x v="0"/>
  </r>
  <r>
    <n v="10175"/>
    <d v="2024-03-16T00:00:00"/>
    <n v="45367"/>
    <s v="Nairobi"/>
    <x v="5"/>
    <s v="  Peter Otieno"/>
    <x v="0"/>
    <s v="P006"/>
    <s v="Plastic Storage Basket (L)"/>
    <x v="16"/>
    <n v="2"/>
    <n v="2"/>
    <n v="420"/>
    <n v="420"/>
    <s v=""/>
    <s v=""/>
    <n v="250"/>
    <x v="1"/>
    <n v="840"/>
    <n v="500"/>
    <n v="340"/>
    <n v="0.40476190476190477"/>
    <x v="1"/>
  </r>
  <r>
    <n v="10078"/>
    <d v="2024-01-14T00:00:00"/>
    <n v="45305"/>
    <s v="nakuru"/>
    <x v="1"/>
    <s v="Faith Wanjiru"/>
    <x v="1"/>
    <s v="P010"/>
    <s v="Wheelbarrow - Heavy Duty"/>
    <x v="15"/>
    <n v="1"/>
    <n v="1"/>
    <n v="5300"/>
    <n v="5300"/>
    <s v=""/>
    <s v=""/>
    <n v="3500"/>
    <x v="2"/>
    <n v="5300"/>
    <n v="3500"/>
    <n v="1800"/>
    <n v="0.33962264150943394"/>
    <x v="0"/>
  </r>
  <r>
    <n v="10116"/>
    <d v="2024-02-29T00:00:00"/>
    <n v="45351"/>
    <s v="Thika"/>
    <x v="4"/>
    <s v="Mercy Njeri"/>
    <x v="3"/>
    <s v="P003"/>
    <s v="RECHARGEABLE TORCH RT-10"/>
    <x v="8"/>
    <n v="12"/>
    <n v="12"/>
    <n v="1050"/>
    <n v="1050"/>
    <s v=""/>
    <s v=""/>
    <n v="600"/>
    <x v="3"/>
    <n v="12600"/>
    <n v="7200"/>
    <n v="5400"/>
    <n v="0.42857142857142855"/>
    <x v="2"/>
  </r>
  <r>
    <n v="10144"/>
    <d v="2024-05-02T00:00:00"/>
    <n v="45414"/>
    <s v="mombasa"/>
    <x v="0"/>
    <s v="Grace Achieng  "/>
    <x v="2"/>
    <s v="P001"/>
    <s v="20L Jerrycan - Blue"/>
    <x v="1"/>
    <n v="20"/>
    <n v="20"/>
    <n v="600"/>
    <n v="600"/>
    <s v=""/>
    <s v=""/>
    <n v="350"/>
    <x v="1"/>
    <n v="12000"/>
    <n v="7000"/>
    <n v="5000"/>
    <n v="0.41666666666666669"/>
    <x v="7"/>
  </r>
  <r>
    <n v="10285"/>
    <d v="2024-02-15T00:00:00"/>
    <n v="45337"/>
    <s v="Kisumu "/>
    <x v="3"/>
    <s v="aisha hassan"/>
    <x v="4"/>
    <s v="P013"/>
    <s v="Kitchen Knife Set"/>
    <x v="0"/>
    <m/>
    <n v="0"/>
    <n v="1400"/>
    <n v="1400"/>
    <s v=""/>
    <s v=""/>
    <n v="800"/>
    <x v="0"/>
    <n v="0"/>
    <n v="0"/>
    <n v="0"/>
    <n v="0"/>
    <x v="2"/>
  </r>
  <r>
    <n v="10016"/>
    <d v="2024-03-10T00:00:00"/>
    <n v="45361"/>
    <s v="Nairobi"/>
    <x v="5"/>
    <s v="  Grace Achieng"/>
    <x v="2"/>
    <s v="P015"/>
    <s v="Water Dispenser Stand"/>
    <x v="2"/>
    <n v="4"/>
    <n v="4"/>
    <n v="2300"/>
    <n v="2300"/>
    <s v=""/>
    <s v=""/>
    <n v="1500"/>
    <x v="1"/>
    <n v="9200"/>
    <n v="6000"/>
    <n v="3200"/>
    <n v="0.34782608695652173"/>
    <x v="1"/>
  </r>
  <r>
    <n v="10338"/>
    <d v="2024-12-03T00:00:00"/>
    <n v="45629"/>
    <s v="mombasa"/>
    <x v="0"/>
    <s v="aisha hassan"/>
    <x v="4"/>
    <s v="P007"/>
    <s v="MOSQUITO NET - FAMILY SIZE"/>
    <x v="10"/>
    <n v="20"/>
    <n v="20"/>
    <n v="750"/>
    <n v="750"/>
    <s v=""/>
    <s v=""/>
    <n v="400"/>
    <x v="1"/>
    <n v="15000"/>
    <n v="8000"/>
    <n v="7000"/>
    <n v="0.46666666666666667"/>
    <x v="9"/>
  </r>
  <r>
    <n v="10132"/>
    <d v="2024-01-14T00:00:00"/>
    <n v="45305"/>
    <s v=" Eldoret"/>
    <x v="2"/>
    <s v="Faith Wanjiru"/>
    <x v="1"/>
    <s v="P004"/>
    <s v="Cooking Gas Burner CB-2"/>
    <x v="12"/>
    <n v="1"/>
    <n v="1"/>
    <n v="1950"/>
    <n v="1950"/>
    <s v=""/>
    <s v=""/>
    <n v="1200"/>
    <x v="0"/>
    <n v="1950"/>
    <n v="1200"/>
    <n v="750"/>
    <n v="0.38461538461538464"/>
    <x v="0"/>
  </r>
  <r>
    <n v="10032"/>
    <d v="2024-03-30T00:00:00"/>
    <n v="45381"/>
    <s v="nakuru"/>
    <x v="1"/>
    <s v="aisha hassan"/>
    <x v="4"/>
    <s v="P007"/>
    <s v="MOSQUITO NET - FAMILY SIZE"/>
    <x v="10"/>
    <n v="4"/>
    <n v="4"/>
    <m/>
    <n v="0"/>
    <s v=""/>
    <s v=""/>
    <n v="400"/>
    <x v="1"/>
    <n v="0"/>
    <n v="1600"/>
    <n v="-1600"/>
    <n v="0"/>
    <x v="1"/>
  </r>
  <r>
    <n v="10142"/>
    <s v="23/03/2024"/>
    <n v="45374"/>
    <s v="Thika"/>
    <x v="4"/>
    <s v="Brian Mutua"/>
    <x v="6"/>
    <s v="P006"/>
    <s v="Plastic Storage Basket (L)"/>
    <x v="16"/>
    <n v="8"/>
    <n v="8"/>
    <n v="470"/>
    <n v="470"/>
    <s v=""/>
    <s v=""/>
    <n v="250"/>
    <x v="1"/>
    <n v="3760"/>
    <n v="2000"/>
    <n v="1760"/>
    <n v="0.46808510638297873"/>
    <x v="1"/>
  </r>
  <r>
    <n v="10320"/>
    <d v="2024-01-02T00:00:00"/>
    <n v="45293"/>
    <s v="Nairobi"/>
    <x v="5"/>
    <s v="Faith Wanjiru"/>
    <x v="1"/>
    <s v="P007"/>
    <s v="MOSQUITO NET - FAMILY SIZE"/>
    <x v="10"/>
    <n v="10"/>
    <n v="10"/>
    <n v="650"/>
    <n v="650"/>
    <s v=""/>
    <s v=""/>
    <n v="400"/>
    <x v="1"/>
    <n v="6500"/>
    <n v="4000"/>
    <n v="2500"/>
    <n v="0.38461538461538464"/>
    <x v="0"/>
  </r>
  <r>
    <n v="10121"/>
    <d v="2024-02-19T00:00:00"/>
    <n v="45341"/>
    <s v="Eldoret "/>
    <x v="2"/>
    <s v="Brian Mutua"/>
    <x v="6"/>
    <s v="P004"/>
    <s v="Cooking Gas Burner CB-2"/>
    <x v="12"/>
    <n v="3"/>
    <n v="3"/>
    <n v="1850"/>
    <n v="1850"/>
    <s v=""/>
    <s v=""/>
    <n v="1200"/>
    <x v="0"/>
    <n v="5550"/>
    <n v="3600"/>
    <n v="1950"/>
    <n v="0.35135135135135137"/>
    <x v="2"/>
  </r>
  <r>
    <n v="10155"/>
    <d v="2024-01-23T00:00:00"/>
    <n v="45314"/>
    <s v=" Nairobi"/>
    <x v="5"/>
    <s v="Grace Achieng"/>
    <x v="2"/>
    <s v="P009"/>
    <s v="Thermos Flask 1L"/>
    <x v="17"/>
    <n v="3"/>
    <n v="3"/>
    <n v="900"/>
    <n v="900"/>
    <s v=""/>
    <s v=""/>
    <n v="550"/>
    <x v="0"/>
    <n v="2700"/>
    <n v="1650"/>
    <n v="1050"/>
    <n v="0.3888888888888889"/>
    <x v="0"/>
  </r>
  <r>
    <n v="10182"/>
    <d v="2024-03-03T00:00:00"/>
    <n v="45354"/>
    <s v="Mombasa "/>
    <x v="0"/>
    <s v="Samuel Kiptoo"/>
    <x v="5"/>
    <s v="P011"/>
    <s v="PADLOCK SET (3PC)"/>
    <x v="5"/>
    <n v="8"/>
    <n v="8"/>
    <n v="750"/>
    <n v="750"/>
    <s v=""/>
    <s v=""/>
    <n v="450"/>
    <x v="2"/>
    <n v="6000"/>
    <n v="3600"/>
    <n v="2400"/>
    <n v="0.4"/>
    <x v="1"/>
  </r>
  <r>
    <n v="10181"/>
    <d v="2024-03-14T00:00:00"/>
    <n v="45365"/>
    <s v="KISUMU"/>
    <x v="3"/>
    <s v="Grace Achieng"/>
    <x v="2"/>
    <s v="P003"/>
    <s v="RECHARGEABLE TORCH RT-10"/>
    <x v="8"/>
    <n v="8"/>
    <n v="8"/>
    <n v="900"/>
    <n v="900"/>
    <s v=""/>
    <s v=""/>
    <n v="600"/>
    <x v="3"/>
    <n v="7200"/>
    <n v="4800"/>
    <n v="2400"/>
    <n v="0.33333333333333331"/>
    <x v="1"/>
  </r>
  <r>
    <n v="10178"/>
    <d v="2024-02-28T00:00:00"/>
    <n v="45350"/>
    <s v="Eldoret"/>
    <x v="2"/>
    <s v="aisha hassan"/>
    <x v="4"/>
    <s v="P009"/>
    <s v="Thermos Flask 1L"/>
    <x v="17"/>
    <n v="12"/>
    <n v="12"/>
    <n v="850"/>
    <n v="850"/>
    <s v=""/>
    <s v=""/>
    <n v="550"/>
    <x v="0"/>
    <n v="10200"/>
    <n v="6600"/>
    <n v="3600"/>
    <n v="0.35294117647058826"/>
    <x v="2"/>
  </r>
  <r>
    <n v="10334"/>
    <d v="2024-02-08T00:00:00"/>
    <n v="45330"/>
    <s v="Nairobi"/>
    <x v="5"/>
    <s v="Brian Mutua"/>
    <x v="6"/>
    <s v="P010"/>
    <s v="Wheelbarrow - Heavy Duty"/>
    <x v="15"/>
    <n v="4"/>
    <n v="4"/>
    <n v="5150"/>
    <n v="5150"/>
    <s v=""/>
    <s v=""/>
    <n v="3500"/>
    <x v="2"/>
    <n v="20600"/>
    <n v="14000"/>
    <n v="6600"/>
    <n v="0.32038834951456313"/>
    <x v="2"/>
  </r>
  <r>
    <n v="10081"/>
    <s v="26/03/2024"/>
    <n v="45377"/>
    <s v="KISUMU"/>
    <x v="3"/>
    <s v="Mercy Njeri"/>
    <x v="3"/>
    <s v="P003"/>
    <s v="RECHARGEABLE TORCH RT-10"/>
    <x v="8"/>
    <n v="20"/>
    <n v="20"/>
    <n v="1000"/>
    <n v="1000"/>
    <s v=""/>
    <s v=""/>
    <n v="600"/>
    <x v="3"/>
    <n v="20000"/>
    <n v="12000"/>
    <n v="8000"/>
    <n v="0.4"/>
    <x v="1"/>
  </r>
  <r>
    <n v="10202"/>
    <d v="2024-01-10T00:00:00"/>
    <n v="45301"/>
    <s v="Eldoret"/>
    <x v="2"/>
    <s v="John Mwangi"/>
    <x v="7"/>
    <s v="P007"/>
    <s v="Mosquito Net - Family Size "/>
    <x v="10"/>
    <n v="20"/>
    <n v="20"/>
    <n v="650"/>
    <n v="650"/>
    <s v=""/>
    <s v=""/>
    <n v="400"/>
    <x v="1"/>
    <n v="13000"/>
    <n v="8000"/>
    <n v="5000"/>
    <n v="0.38461538461538464"/>
    <x v="0"/>
  </r>
  <r>
    <n v="10251"/>
    <d v="2024-03-02T00:00:00"/>
    <n v="45353"/>
    <s v="Thika"/>
    <x v="4"/>
    <s v="Mercy Njeri  "/>
    <x v="3"/>
    <s v="P001"/>
    <s v="20L Jerrycan - Blue"/>
    <x v="1"/>
    <n v="20"/>
    <n v="20"/>
    <n v="650"/>
    <n v="650"/>
    <s v=""/>
    <s v=""/>
    <n v="350"/>
    <x v="1"/>
    <n v="13000"/>
    <n v="7000"/>
    <n v="6000"/>
    <n v="0.46153846153846156"/>
    <x v="1"/>
  </r>
  <r>
    <n v="10171"/>
    <d v="2024-03-01T00:00:00"/>
    <n v="45352"/>
    <s v="Nairobi"/>
    <x v="5"/>
    <s v="aisha hassan"/>
    <x v="4"/>
    <s v="P012"/>
    <s v="Garden Hose 20m"/>
    <x v="4"/>
    <n v="10"/>
    <n v="10"/>
    <n v="1700"/>
    <n v="1700"/>
    <s v=""/>
    <s v=""/>
    <n v="1100"/>
    <x v="2"/>
    <n v="17000"/>
    <n v="11000"/>
    <n v="6000"/>
    <n v="0.35294117647058826"/>
    <x v="1"/>
  </r>
  <r>
    <n v="10157"/>
    <d v="2024-01-13T00:00:00"/>
    <n v="45304"/>
    <s v="Eldoret"/>
    <x v="2"/>
    <s v="John Mwangi"/>
    <x v="7"/>
    <s v="P004"/>
    <s v="Cooking Gas Burner CB-2"/>
    <x v="12"/>
    <n v="4"/>
    <n v="4"/>
    <n v="1950"/>
    <n v="1950"/>
    <s v=""/>
    <s v=""/>
    <n v="1200"/>
    <x v="0"/>
    <n v="7800"/>
    <n v="4800"/>
    <n v="3000"/>
    <n v="0.38461538461538464"/>
    <x v="0"/>
  </r>
  <r>
    <n v="10272"/>
    <d v="2024-02-12T00:00:00"/>
    <n v="45334"/>
    <s v="Nairobi"/>
    <x v="5"/>
    <s v="Grace Achieng"/>
    <x v="2"/>
    <s v="P002"/>
    <s v="solar lantern sl-200 "/>
    <x v="11"/>
    <n v="1"/>
    <n v="1"/>
    <n v="1450"/>
    <n v="1450"/>
    <s v=""/>
    <s v=""/>
    <n v="900"/>
    <x v="3"/>
    <n v="1450"/>
    <n v="900"/>
    <n v="550"/>
    <n v="0.37931034482758619"/>
    <x v="2"/>
  </r>
  <r>
    <n v="10127"/>
    <d v="2024-03-01T00:00:00"/>
    <n v="45352"/>
    <s v="KISUMU"/>
    <x v="3"/>
    <s v="Faith Wanjiru"/>
    <x v="1"/>
    <s v="P012"/>
    <s v="Garden Hose 20m"/>
    <x v="4"/>
    <n v="1"/>
    <n v="1"/>
    <n v="1800"/>
    <n v="1800"/>
    <s v=""/>
    <s v=""/>
    <n v="1100"/>
    <x v="2"/>
    <n v="1800"/>
    <n v="1100"/>
    <n v="700"/>
    <n v="0.3888888888888889"/>
    <x v="1"/>
  </r>
  <r>
    <n v="10021"/>
    <d v="2024-08-03T00:00:00"/>
    <n v="45507"/>
    <s v="Nairobi "/>
    <x v="5"/>
    <s v="Samuel Kiptoo"/>
    <x v="5"/>
    <s v="P015"/>
    <s v="Water Dispenser Stand"/>
    <x v="2"/>
    <n v="20"/>
    <n v="20"/>
    <n v="2250"/>
    <n v="2250"/>
    <s v=""/>
    <s v=""/>
    <n v="1500"/>
    <x v="1"/>
    <n v="45000"/>
    <n v="30000"/>
    <n v="15000"/>
    <n v="0.33333333333333331"/>
    <x v="3"/>
  </r>
  <r>
    <n v="10288"/>
    <d v="2024-03-18T00:00:00"/>
    <n v="45369"/>
    <s v="nakuru"/>
    <x v="1"/>
    <s v="aisha hassan"/>
    <x v="4"/>
    <s v="P003"/>
    <s v="Rechargeable Torch RT-10 "/>
    <x v="8"/>
    <n v="4"/>
    <n v="4"/>
    <n v="1000"/>
    <n v="1000"/>
    <s v=""/>
    <s v=""/>
    <n v="600"/>
    <x v="3"/>
    <n v="4000"/>
    <n v="2400"/>
    <n v="1600"/>
    <n v="0.4"/>
    <x v="1"/>
  </r>
  <r>
    <n v="10235"/>
    <s v="31/01/2024"/>
    <n v="45322"/>
    <s v=" Nairobi"/>
    <x v="5"/>
    <s v="Brian Mutua"/>
    <x v="6"/>
    <s v="P011"/>
    <s v="Padlock Set (3pc)"/>
    <x v="5"/>
    <n v="6"/>
    <n v="6"/>
    <n v="700"/>
    <n v="700"/>
    <s v=""/>
    <s v=""/>
    <n v="450"/>
    <x v="2"/>
    <n v="4200"/>
    <n v="2700"/>
    <n v="1500"/>
    <n v="0.35714285714285715"/>
    <x v="0"/>
  </r>
  <r>
    <n v="10257"/>
    <d v="2024-02-22T00:00:00"/>
    <n v="45344"/>
    <s v="Nairobi"/>
    <x v="5"/>
    <s v="  Samuel Kiptoo"/>
    <x v="5"/>
    <s v="P010"/>
    <s v="wheelbarrow - heavy duty"/>
    <x v="15"/>
    <n v="4"/>
    <n v="4"/>
    <n v="5200"/>
    <n v="5200"/>
    <s v=""/>
    <s v=""/>
    <n v="3500"/>
    <x v="2"/>
    <n v="20800"/>
    <n v="14000"/>
    <n v="6800"/>
    <n v="0.32692307692307693"/>
    <x v="2"/>
  </r>
  <r>
    <n v="10102"/>
    <d v="2024-01-04T00:00:00"/>
    <n v="45295"/>
    <s v="KISUMU"/>
    <x v="3"/>
    <s v="  Grace Achieng"/>
    <x v="2"/>
    <s v="P014"/>
    <s v="LED BULB 9W (PACK OF 4)"/>
    <x v="9"/>
    <n v="20"/>
    <n v="20"/>
    <n v="780"/>
    <n v="780"/>
    <s v=""/>
    <s v=""/>
    <n v="480"/>
    <x v="3"/>
    <n v="15600"/>
    <n v="9600"/>
    <n v="6000"/>
    <n v="0.38461538461538464"/>
    <x v="0"/>
  </r>
  <r>
    <n v="10096"/>
    <d v="2024-02-06T00:00:00"/>
    <n v="45328"/>
    <s v="KISUMU"/>
    <x v="3"/>
    <s v="Peter Otieno"/>
    <x v="0"/>
    <s v="P006"/>
    <s v="Plastic Storage Basket (L)"/>
    <x v="16"/>
    <n v="2"/>
    <n v="2"/>
    <n v="520"/>
    <n v="520"/>
    <s v=""/>
    <s v=""/>
    <n v="250"/>
    <x v="1"/>
    <n v="1040"/>
    <n v="500"/>
    <n v="540"/>
    <n v="0.51923076923076927"/>
    <x v="2"/>
  </r>
  <r>
    <n v="10046"/>
    <d v="2024-01-03T00:00:00"/>
    <n v="45294"/>
    <s v="Nairobi"/>
    <x v="5"/>
    <s v="Samuel Kiptoo"/>
    <x v="5"/>
    <s v="P004"/>
    <s v="Cooking Gas Burner CB-2"/>
    <x v="12"/>
    <n v="8"/>
    <n v="8"/>
    <n v="1850"/>
    <n v="1850"/>
    <s v=""/>
    <s v=""/>
    <n v="1200"/>
    <x v="0"/>
    <n v="14800"/>
    <n v="9600"/>
    <n v="5200"/>
    <n v="0.35135135135135137"/>
    <x v="0"/>
  </r>
  <r>
    <n v="10273"/>
    <d v="2024-01-03T00:00:00"/>
    <n v="45294"/>
    <s v="nakuru"/>
    <x v="1"/>
    <s v="Grace Achieng"/>
    <x v="2"/>
    <s v="P009"/>
    <s v="Thermos Flask 1L"/>
    <x v="17"/>
    <n v="1"/>
    <n v="1"/>
    <n v="1000"/>
    <n v="1000"/>
    <s v=""/>
    <s v=""/>
    <n v="550"/>
    <x v="0"/>
    <n v="1000"/>
    <n v="550"/>
    <n v="450"/>
    <n v="0.45"/>
    <x v="0"/>
  </r>
  <r>
    <n v="10306"/>
    <d v="2024-04-03T00:00:00"/>
    <n v="45385"/>
    <s v="Nakuru "/>
    <x v="1"/>
    <s v="Faith Wanjiru"/>
    <x v="1"/>
    <s v="P007"/>
    <s v="Mosquito Net - Family Size"/>
    <x v="10"/>
    <n v="6"/>
    <n v="6"/>
    <n v="650"/>
    <n v="650"/>
    <s v=""/>
    <s v=""/>
    <n v="400"/>
    <x v="1"/>
    <n v="3900"/>
    <n v="2400"/>
    <n v="1500"/>
    <n v="0.38461538461538464"/>
    <x v="10"/>
  </r>
  <r>
    <n v="10249"/>
    <d v="2024-04-02T00:00:00"/>
    <n v="45384"/>
    <s v="nakuru"/>
    <x v="1"/>
    <s v="aisha hassan"/>
    <x v="4"/>
    <s v="P013"/>
    <s v="Kitchen Knife Set"/>
    <x v="0"/>
    <n v="8"/>
    <n v="8"/>
    <n v="1300"/>
    <n v="1300"/>
    <s v=""/>
    <s v=""/>
    <n v="800"/>
    <x v="0"/>
    <n v="10400"/>
    <n v="6400"/>
    <n v="4000"/>
    <n v="0.38461538461538464"/>
    <x v="10"/>
  </r>
  <r>
    <n v="10162"/>
    <d v="2024-04-01T00:00:00"/>
    <n v="45383"/>
    <s v=" Nairobi"/>
    <x v="5"/>
    <s v="Mercy Njeri"/>
    <x v="3"/>
    <s v="P009"/>
    <s v="Thermos Flask 1L"/>
    <x v="17"/>
    <n v="2"/>
    <n v="2"/>
    <n v="1000"/>
    <n v="1000"/>
    <s v=""/>
    <s v=""/>
    <n v="550"/>
    <x v="0"/>
    <n v="2000"/>
    <n v="1100"/>
    <n v="900"/>
    <n v="0.45"/>
    <x v="10"/>
  </r>
  <r>
    <n v="10051"/>
    <d v="2024-09-02T00:00:00"/>
    <n v="45537"/>
    <s v="Eldoret "/>
    <x v="2"/>
    <s v="  John Mwangi"/>
    <x v="7"/>
    <s v="P010"/>
    <s v="Wheelbarrow Heavy Duty"/>
    <x v="13"/>
    <n v="2"/>
    <n v="2"/>
    <n v="5200"/>
    <n v="5200"/>
    <s v=""/>
    <s v=""/>
    <n v="3500"/>
    <x v="2"/>
    <n v="10400"/>
    <n v="7000"/>
    <n v="3400"/>
    <n v="0.32692307692307693"/>
    <x v="11"/>
  </r>
  <r>
    <n v="10261"/>
    <d v="2024-02-07T00:00:00"/>
    <n v="45329"/>
    <s v="Thika"/>
    <x v="4"/>
    <s v="Mercy Njeri"/>
    <x v="3"/>
    <s v="P015"/>
    <s v="Water Dispenser Stand"/>
    <x v="2"/>
    <n v="20"/>
    <n v="20"/>
    <n v="2300"/>
    <n v="2300"/>
    <s v=""/>
    <s v=""/>
    <n v="1500"/>
    <x v="1"/>
    <n v="46000"/>
    <n v="30000"/>
    <n v="16000"/>
    <n v="0.34782608695652173"/>
    <x v="2"/>
  </r>
  <r>
    <n v="10195"/>
    <d v="2024-02-04T00:00:00"/>
    <n v="45326"/>
    <s v="Thika"/>
    <x v="4"/>
    <s v="  Grace Achieng"/>
    <x v="2"/>
    <s v="P013"/>
    <s v="KITCHEN KNIFE SET"/>
    <x v="0"/>
    <n v="1"/>
    <n v="1"/>
    <n v="1300"/>
    <n v="1300"/>
    <s v=""/>
    <s v=""/>
    <n v="800"/>
    <x v="0"/>
    <n v="1300"/>
    <n v="800"/>
    <n v="500"/>
    <n v="0.38461538461538464"/>
    <x v="2"/>
  </r>
  <r>
    <n v="10119"/>
    <d v="2024-03-04T00:00:00"/>
    <n v="45355"/>
    <s v="Thika"/>
    <x v="4"/>
    <s v="Samuel Kiptoo"/>
    <x v="5"/>
    <s v="P011"/>
    <s v="Padlock Set (3pc)"/>
    <x v="5"/>
    <n v="5"/>
    <n v="5"/>
    <n v="750"/>
    <n v="750"/>
    <s v=""/>
    <s v=""/>
    <n v="450"/>
    <x v="2"/>
    <n v="3750"/>
    <n v="2250"/>
    <n v="1500"/>
    <n v="0.4"/>
    <x v="1"/>
  </r>
  <r>
    <n v="10198"/>
    <s v="17/02/2024"/>
    <n v="45339"/>
    <s v="Nairobi"/>
    <x v="5"/>
    <s v="John Mwangi"/>
    <x v="7"/>
    <s v="P003"/>
    <s v="RECHARGEABLE TORCH RT-10"/>
    <x v="8"/>
    <n v="4"/>
    <n v="4"/>
    <n v="1050"/>
    <n v="1050"/>
    <s v=""/>
    <s v=""/>
    <n v="600"/>
    <x v="3"/>
    <n v="4200"/>
    <n v="2400"/>
    <n v="1800"/>
    <n v="0.42857142857142855"/>
    <x v="2"/>
  </r>
  <r>
    <n v="10150"/>
    <d v="2024-03-02T00:00:00"/>
    <n v="45353"/>
    <s v="mombasa"/>
    <x v="0"/>
    <s v="  Faith Wanjiru"/>
    <x v="1"/>
    <s v="P007"/>
    <s v="Mosquito Net - Family Size"/>
    <x v="10"/>
    <n v="4"/>
    <n v="4"/>
    <n v="750"/>
    <n v="750"/>
    <s v=""/>
    <s v=""/>
    <n v="400"/>
    <x v="1"/>
    <n v="3000"/>
    <n v="1600"/>
    <n v="1400"/>
    <n v="0.46666666666666667"/>
    <x v="1"/>
  </r>
  <r>
    <n v="10056"/>
    <d v="2024-02-11T00:00:00"/>
    <n v="45333"/>
    <s v="Thika "/>
    <x v="4"/>
    <s v="Grace Achieng"/>
    <x v="2"/>
    <s v="P014"/>
    <s v="LED Bulb 9W (Pack of 4)"/>
    <x v="9"/>
    <n v="3"/>
    <n v="3"/>
    <n v="780"/>
    <n v="780"/>
    <s v=""/>
    <s v=""/>
    <n v="480"/>
    <x v="3"/>
    <n v="2340"/>
    <n v="1440"/>
    <n v="900"/>
    <n v="0.38461538461538464"/>
    <x v="2"/>
  </r>
  <r>
    <n v="10185"/>
    <s v="24/03/2024"/>
    <n v="45375"/>
    <s v="KISUMU"/>
    <x v="3"/>
    <s v="Peter Otieno"/>
    <x v="0"/>
    <s v="P014"/>
    <s v="LED Bulb 9W (Pack of 4)"/>
    <x v="9"/>
    <n v="5"/>
    <n v="5"/>
    <n v="730"/>
    <n v="730"/>
    <s v=""/>
    <s v=""/>
    <n v="480"/>
    <x v="3"/>
    <n v="3650"/>
    <n v="2400"/>
    <n v="1250"/>
    <n v="0.34246575342465752"/>
    <x v="1"/>
  </r>
  <r>
    <n v="10199"/>
    <d v="2024-01-26T00:00:00"/>
    <n v="45317"/>
    <s v="KISUMU"/>
    <x v="3"/>
    <s v="Samuel Kiptoo"/>
    <x v="5"/>
    <s v="P012"/>
    <s v="Garden Hose 20m "/>
    <x v="4"/>
    <n v="15"/>
    <n v="15"/>
    <n v="1700"/>
    <n v="1700"/>
    <s v=""/>
    <s v=""/>
    <n v="1100"/>
    <x v="2"/>
    <n v="25500"/>
    <n v="16500"/>
    <n v="9000"/>
    <n v="0.35294117647058826"/>
    <x v="0"/>
  </r>
  <r>
    <n v="10035"/>
    <d v="2024-02-10T00:00:00"/>
    <n v="45332"/>
    <s v="Eldoret"/>
    <x v="2"/>
    <s v="Grace Achieng"/>
    <x v="2"/>
    <s v="P003"/>
    <s v="Rechargeable Torch RT-10"/>
    <x v="8"/>
    <n v="3"/>
    <n v="3"/>
    <n v="950"/>
    <n v="950"/>
    <s v=""/>
    <s v=""/>
    <n v="600"/>
    <x v="3"/>
    <n v="2850"/>
    <n v="1800"/>
    <n v="1050"/>
    <n v="0.36842105263157893"/>
    <x v="2"/>
  </r>
  <r>
    <n v="10005"/>
    <s v="27/01/2024"/>
    <n v="45318"/>
    <s v=" Thika"/>
    <x v="4"/>
    <s v="Samuel Kiptoo"/>
    <x v="5"/>
    <s v="P012"/>
    <s v="Garden Hose 20m"/>
    <x v="4"/>
    <n v="20"/>
    <n v="20"/>
    <n v="1650"/>
    <n v="1650"/>
    <s v=""/>
    <s v=""/>
    <n v="1100"/>
    <x v="2"/>
    <n v="33000"/>
    <n v="22000"/>
    <n v="11000"/>
    <n v="0.33333333333333331"/>
    <x v="0"/>
  </r>
  <r>
    <n v="10336"/>
    <d v="2024-03-18T00:00:00"/>
    <n v="45369"/>
    <s v="Nairobi"/>
    <x v="5"/>
    <s v="  Brian Mutua"/>
    <x v="6"/>
    <s v="P001"/>
    <s v="20L Jerrycan - Blue"/>
    <x v="1"/>
    <n v="5"/>
    <n v="5"/>
    <n v="650"/>
    <n v="650"/>
    <s v=""/>
    <s v=""/>
    <n v="350"/>
    <x v="1"/>
    <n v="3250"/>
    <n v="1750"/>
    <n v="1500"/>
    <n v="0.46153846153846156"/>
    <x v="1"/>
  </r>
  <r>
    <n v="10239"/>
    <d v="2024-01-26T00:00:00"/>
    <n v="45317"/>
    <s v="KISUMU"/>
    <x v="3"/>
    <s v="Brian Mutua"/>
    <x v="6"/>
    <s v="P010"/>
    <s v="Wheelbarrow Heavy Duty"/>
    <x v="13"/>
    <n v="10"/>
    <n v="10"/>
    <n v="5200"/>
    <n v="5200"/>
    <s v=""/>
    <s v=""/>
    <n v="3500"/>
    <x v="2"/>
    <n v="52000"/>
    <n v="35000"/>
    <n v="17000"/>
    <n v="0.32692307692307693"/>
    <x v="0"/>
  </r>
  <r>
    <n v="10028"/>
    <d v="2024-03-28T00:00:00"/>
    <n v="45379"/>
    <s v="Thika"/>
    <x v="4"/>
    <s v="Faith Wanjiru"/>
    <x v="1"/>
    <s v="P006"/>
    <s v="plastic storage basket l "/>
    <x v="3"/>
    <n v="8"/>
    <n v="8"/>
    <n v="370"/>
    <n v="370"/>
    <s v=""/>
    <s v=""/>
    <n v="250"/>
    <x v="1"/>
    <n v="2960"/>
    <n v="2000"/>
    <n v="960"/>
    <n v="0.32432432432432434"/>
    <x v="1"/>
  </r>
  <r>
    <n v="10139"/>
    <d v="2024-01-28T00:00:00"/>
    <n v="45319"/>
    <s v="Mombasa "/>
    <x v="0"/>
    <s v="Grace Achieng  "/>
    <x v="2"/>
    <s v="P009"/>
    <s v="Thermos Flask 1L"/>
    <x v="17"/>
    <n v="10"/>
    <n v="10"/>
    <n v="1000"/>
    <n v="1000"/>
    <s v=""/>
    <s v=""/>
    <n v="550"/>
    <x v="0"/>
    <n v="10000"/>
    <n v="5500"/>
    <n v="4500"/>
    <n v="0.45"/>
    <x v="0"/>
  </r>
  <r>
    <n v="10317"/>
    <d v="2024-03-21T00:00:00"/>
    <n v="45372"/>
    <s v="mombasa"/>
    <x v="0"/>
    <s v="Samuel Kiptoo"/>
    <x v="5"/>
    <s v="P005"/>
    <s v="Non-Stick Frying Pan 28cm"/>
    <x v="14"/>
    <n v="20"/>
    <n v="20"/>
    <n v="1200"/>
    <n v="1200"/>
    <s v=""/>
    <s v=""/>
    <n v="700"/>
    <x v="0"/>
    <n v="24000"/>
    <n v="14000"/>
    <n v="10000"/>
    <n v="0.41666666666666669"/>
    <x v="1"/>
  </r>
  <r>
    <n v="10103"/>
    <d v="2024-01-11T00:00:00"/>
    <n v="45302"/>
    <s v="Nairobi"/>
    <x v="5"/>
    <s v="Samuel Kiptoo"/>
    <x v="5"/>
    <s v="P004"/>
    <s v="Cooking Gas Burner CB-2"/>
    <x v="12"/>
    <n v="3"/>
    <n v="3"/>
    <n v="1950"/>
    <n v="1950"/>
    <s v=""/>
    <s v=""/>
    <n v="1200"/>
    <x v="0"/>
    <n v="5850"/>
    <n v="3600"/>
    <n v="2250"/>
    <n v="0.38461538461538464"/>
    <x v="0"/>
  </r>
  <r>
    <n v="10146"/>
    <d v="2024-11-02T00:00:00"/>
    <n v="45598"/>
    <s v="mombasa"/>
    <x v="0"/>
    <s v="Samuel Kiptoo"/>
    <x v="5"/>
    <s v="P015"/>
    <s v="Water Dispenser Stand"/>
    <x v="2"/>
    <n v="3"/>
    <n v="3"/>
    <n v="2400"/>
    <n v="2400"/>
    <s v=""/>
    <s v=""/>
    <n v="1500"/>
    <x v="1"/>
    <n v="7200"/>
    <n v="4500"/>
    <n v="2700"/>
    <n v="0.375"/>
    <x v="4"/>
  </r>
  <r>
    <n v="10031"/>
    <d v="2024-03-25T00:00:00"/>
    <n v="45376"/>
    <s v=" Thika"/>
    <x v="4"/>
    <s v="Mercy Njeri"/>
    <x v="3"/>
    <s v="P002"/>
    <s v="Solar Lantern SL200"/>
    <x v="7"/>
    <n v="4"/>
    <n v="4"/>
    <n v="1450"/>
    <n v="1450"/>
    <s v=""/>
    <s v=""/>
    <n v="900"/>
    <x v="3"/>
    <n v="5800"/>
    <n v="3600"/>
    <n v="2200"/>
    <n v="0.37931034482758619"/>
    <x v="1"/>
  </r>
  <r>
    <n v="10088"/>
    <d v="2024-03-05T00:00:00"/>
    <n v="45356"/>
    <s v=" Eldoret"/>
    <x v="2"/>
    <s v="Mercy Njeri"/>
    <x v="3"/>
    <s v="P002"/>
    <s v="Solar Lantern SL-200"/>
    <x v="11"/>
    <n v="8"/>
    <n v="8"/>
    <n v="1400"/>
    <n v="1400"/>
    <s v=""/>
    <s v=""/>
    <n v="900"/>
    <x v="3"/>
    <n v="11200"/>
    <n v="7200"/>
    <n v="4000"/>
    <n v="0.35714285714285715"/>
    <x v="1"/>
  </r>
  <r>
    <n v="10131"/>
    <d v="2024-02-20T00:00:00"/>
    <n v="45342"/>
    <s v="KISUMU"/>
    <x v="3"/>
    <s v="Peter Otieno  "/>
    <x v="0"/>
    <s v="P005"/>
    <s v="Non-Stick Frying Pan 28cm"/>
    <x v="14"/>
    <n v="1"/>
    <n v="1"/>
    <n v="1100"/>
    <n v="1100"/>
    <s v=""/>
    <s v=""/>
    <n v="700"/>
    <x v="0"/>
    <n v="1100"/>
    <n v="700"/>
    <n v="400"/>
    <n v="0.36363636363636365"/>
    <x v="2"/>
  </r>
  <r>
    <n v="10023"/>
    <d v="2024-10-01T00:00:00"/>
    <n v="45566"/>
    <s v="Thika"/>
    <x v="4"/>
    <s v="Peter Otieno"/>
    <x v="0"/>
    <s v="P009"/>
    <s v="Thermos Flask 1L"/>
    <x v="17"/>
    <n v="1"/>
    <n v="1"/>
    <n v="900"/>
    <n v="900"/>
    <s v=""/>
    <s v=""/>
    <n v="550"/>
    <x v="0"/>
    <n v="900"/>
    <n v="550"/>
    <n v="350"/>
    <n v="0.3888888888888889"/>
    <x v="8"/>
  </r>
  <r>
    <n v="10270"/>
    <d v="2024-01-04T00:00:00"/>
    <n v="45295"/>
    <s v="Eldoret"/>
    <x v="2"/>
    <s v="Mercy Njeri  "/>
    <x v="3"/>
    <s v="P009"/>
    <s v="Thermos Flask 1L"/>
    <x v="17"/>
    <n v="12"/>
    <n v="12"/>
    <n v="950"/>
    <n v="950"/>
    <s v=""/>
    <s v=""/>
    <n v="550"/>
    <x v="0"/>
    <n v="11400"/>
    <n v="6600"/>
    <n v="4800"/>
    <n v="0.42105263157894735"/>
    <x v="0"/>
  </r>
  <r>
    <n v="10340"/>
    <d v="2024-02-26T00:00:00"/>
    <n v="45348"/>
    <s v="Nairobi"/>
    <x v="5"/>
    <s v="Faith Wanjiru"/>
    <x v="1"/>
    <s v="P004"/>
    <s v="Cooking Gas Burner CB-2"/>
    <x v="12"/>
    <n v="20"/>
    <n v="20"/>
    <n v="1850"/>
    <n v="1850"/>
    <s v=""/>
    <s v=""/>
    <n v="1200"/>
    <x v="0"/>
    <n v="37000"/>
    <n v="24000"/>
    <n v="13000"/>
    <n v="0.35135135135135137"/>
    <x v="2"/>
  </r>
  <r>
    <n v="10299"/>
    <s v="23/01/2024"/>
    <n v="45314"/>
    <s v="nakuru"/>
    <x v="1"/>
    <s v="Grace Achieng"/>
    <x v="2"/>
    <s v="P009"/>
    <s v="Thermos Flask 1L"/>
    <x v="17"/>
    <n v="2"/>
    <n v="2"/>
    <n v="1000"/>
    <n v="1000"/>
    <s v=""/>
    <s v=""/>
    <n v="550"/>
    <x v="0"/>
    <n v="2000"/>
    <n v="1100"/>
    <n v="900"/>
    <n v="0.45"/>
    <x v="0"/>
  </r>
  <r>
    <n v="10193"/>
    <d v="2024-03-09T00:00:00"/>
    <n v="45360"/>
    <s v="KISUMU"/>
    <x v="3"/>
    <s v="Brian Mutua"/>
    <x v="6"/>
    <s v="P010"/>
    <s v="wheelbarrow - heavy duty"/>
    <x v="15"/>
    <n v="20"/>
    <n v="20"/>
    <n v="5150"/>
    <n v="5150"/>
    <s v=""/>
    <s v=""/>
    <n v="3500"/>
    <x v="2"/>
    <n v="103000"/>
    <n v="70000"/>
    <n v="33000"/>
    <n v="0.32038834951456313"/>
    <x v="1"/>
  </r>
  <r>
    <n v="10010"/>
    <d v="2024-03-21T00:00:00"/>
    <n v="45372"/>
    <s v="KISUMU"/>
    <x v="3"/>
    <s v="Faith Wanjiru"/>
    <x v="1"/>
    <s v="P003"/>
    <s v="Rechargeable Torch RT-10"/>
    <x v="8"/>
    <n v="6"/>
    <n v="6"/>
    <n v="950"/>
    <n v="950"/>
    <s v=""/>
    <s v=""/>
    <n v="600"/>
    <x v="3"/>
    <n v="5700"/>
    <n v="3600"/>
    <n v="2100"/>
    <n v="0.3684210526315789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18003-176B-48B0-A102-FADE1C222F01}" name="PivotTable1" cacheId="1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C10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/>
    <dataField name="Sum of Profit" fld="20" baseField="0" baseItem="0"/>
  </dataFields>
  <formats count="1">
    <format dxfId="29">
      <pivotArea outline="0" collapsedLevelsAreSubtotals="1" fieldPosition="0"/>
    </format>
  </format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3621C-66DA-4A0D-8F7E-F481D53D92A3}" name="PivotTable2" cacheId="1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1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axis="axisRow" compact="0" outline="0" showAll="0">
      <items count="9">
        <item x="4"/>
        <item x="6"/>
        <item x="1"/>
        <item x="2"/>
        <item x="7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/>
    <dataField name="Sum of Profit" fld="20" baseField="0" baseItem="0" numFmtId="165"/>
  </dataFields>
  <formats count="4">
    <format dxfId="25">
      <pivotArea outline="0" fieldPosition="0">
        <references count="2">
          <reference field="4294967294" count="1" selected="0">
            <x v="0"/>
          </reference>
          <reference field="6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26">
      <pivotArea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27">
      <pivotArea field="6" grandRow="1" outline="0" axis="axisRow" fieldPosition="0">
        <references count="1">
          <reference field="4294967294" count="1" selected="0">
            <x v="0"/>
          </reference>
        </references>
      </pivotArea>
    </format>
    <format dxfId="28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23544-D17F-4C3D-935A-3E14423EAB23}" name="PivotTable3" cacheId="1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7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/>
    <dataField name="Sum of Profit" fld="20" baseField="0" baseItem="0"/>
  </dataFields>
  <formats count="4">
    <format dxfId="21">
      <pivotArea grandRow="1" outline="0" collapsedLevelsAreSubtotals="1" fieldPosition="0"/>
    </format>
    <format dxfId="22">
      <pivotArea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format>
    <format dxfId="23">
      <pivotArea outline="0" fieldPosition="0">
        <references count="1">
          <reference field="17" count="3" selected="0">
            <x v="0"/>
            <x v="1"/>
            <x v="2"/>
          </reference>
        </references>
      </pivotArea>
    </format>
    <format dxfId="24">
      <pivotArea outline="0" fieldPosition="0">
        <references count="2">
          <reference field="4294967294" count="1" selected="0">
            <x v="1"/>
          </reference>
          <reference field="17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3F2C2-D903-41C0-9E83-D6BCE545A948}" name="PivotTable5" cacheId="1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19">
        <item x="1"/>
        <item x="12"/>
        <item x="4"/>
        <item x="0"/>
        <item x="9"/>
        <item x="10"/>
        <item x="14"/>
        <item x="5"/>
        <item x="16"/>
        <item x="3"/>
        <item x="8"/>
        <item x="7"/>
        <item x="11"/>
        <item x="17"/>
        <item x="6"/>
        <item x="2"/>
        <item x="15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9"/>
  </rowFields>
  <rowItems count="6">
    <i>
      <x v="1"/>
    </i>
    <i>
      <x v="2"/>
    </i>
    <i>
      <x v="3"/>
    </i>
    <i>
      <x v="15"/>
    </i>
    <i>
      <x v="16"/>
    </i>
    <i t="grand">
      <x/>
    </i>
  </rowItems>
  <colItems count="1">
    <i/>
  </colItems>
  <dataFields count="1">
    <dataField name="Sum of Revenue" fld="18" baseField="0" baseItem="0" numFmtId="165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D331C-D021-4FA9-A8F2-B7B38DE20E28}" name="PivotTable7" cacheId="1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7:J20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0" outline="0" showAll="0"/>
    <pivotField axis="axisRow"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/>
    <dataField name="Sum of Profit" fld="20" baseField="0" baseItem="0"/>
  </dataFields>
  <formats count="1">
    <format dxfId="19">
      <pivotArea outline="0" collapsedLevelsAreSubtotals="1" fieldPosition="0"/>
    </format>
  </format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947DD-4127-4D9B-A494-DE9D97C4CFC4}" name="PivotTable3" cacheId="1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60:K66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19">
        <item x="1"/>
        <item x="12"/>
        <item x="4"/>
        <item x="0"/>
        <item x="9"/>
        <item x="10"/>
        <item x="14"/>
        <item x="5"/>
        <item x="16"/>
        <item x="3"/>
        <item x="8"/>
        <item x="7"/>
        <item x="11"/>
        <item x="17"/>
        <item x="6"/>
        <item x="2"/>
        <item x="15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9"/>
  </rowFields>
  <rowItems count="6">
    <i>
      <x v="1"/>
    </i>
    <i>
      <x v="2"/>
    </i>
    <i>
      <x v="3"/>
    </i>
    <i>
      <x v="15"/>
    </i>
    <i>
      <x v="16"/>
    </i>
    <i t="grand">
      <x/>
    </i>
  </rowItems>
  <colItems count="1">
    <i/>
  </colItems>
  <dataFields count="1">
    <dataField name="Sum of Revenue" fld="18" baseField="0" baseItem="0" numFmtId="165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32869A-42F1-4EC3-852E-0DEFED0CFE41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 Name" tableColumnId="2"/>
      <queryTableField id="3" name="Category" tableColumnId="3"/>
      <queryTableField id="4" name="Unit Cost (KES)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9D3A41-9D1B-489F-864A-0AE54603D067}" autoFormatId="16" applyNumberFormats="0" applyBorderFormats="0" applyFontFormats="0" applyPatternFormats="0" applyAlignmentFormats="0" applyWidthHeightFormats="0">
  <queryTableRefresh nextId="24">
    <queryTableFields count="23">
      <queryTableField id="1" name="Order ID" tableColumnId="1"/>
      <queryTableField id="2" name="Order Date" tableColumnId="2"/>
      <queryTableField id="3" name="Cleaned Order Date" tableColumnId="3"/>
      <queryTableField id="4" name="Region" tableColumnId="4"/>
      <queryTableField id="5" name="Cleaned Region" tableColumnId="5"/>
      <queryTableField id="6" name="Sales Rep" tableColumnId="6"/>
      <queryTableField id="7" name="Cleaned Sales Rep" tableColumnId="7"/>
      <queryTableField id="8" name="Product ID" tableColumnId="8"/>
      <queryTableField id="9" name="Product Name" tableColumnId="9"/>
      <queryTableField id="10" name="Cleaned Product Name" tableColumnId="10"/>
      <queryTableField id="11" name="Quantity" tableColumnId="11"/>
      <queryTableField id="12" name="New Quantity" tableColumnId="12"/>
      <queryTableField id="13" name="Unit Price (KES)" tableColumnId="13"/>
      <queryTableField id="14" name="Cleaned Unit Price (KES)" tableColumnId="14"/>
      <queryTableField id="15" name="Flags" tableColumnId="15"/>
      <queryTableField id="16" name="Cleaned Quantity" tableColumnId="16"/>
      <queryTableField id="17" name="Unit Cost" tableColumnId="17"/>
      <queryTableField id="18" name="Category" tableColumnId="18"/>
      <queryTableField id="19" name="Revenue" tableColumnId="19"/>
      <queryTableField id="20" name="Cost" tableColumnId="20"/>
      <queryTableField id="21" name="Profit" tableColumnId="21"/>
      <queryTableField id="22" name="Margin %" tableColumnId="22"/>
      <queryTableField id="23" name="Month" tableColumnId="2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ed_Region" xr10:uid="{C4AC1500-9AAD-4DDD-B3C8-047B7B321D29}" sourceName="Cleaned Region">
  <pivotTables>
    <pivotTable tabId="14" name="PivotTable1"/>
    <pivotTable tabId="15" name="PivotTable2"/>
    <pivotTable tabId="16" name="PivotTable3"/>
    <pivotTable tabId="18" name="PivotTable5"/>
    <pivotTable tabId="19" name="PivotTable7"/>
    <pivotTable tabId="20" name="PivotTable3"/>
  </pivotTables>
  <data>
    <tabular pivotCacheId="1299630943">
      <items count="7">
        <i x="2" s="1"/>
        <i x="3" s="1"/>
        <i x="0" s="1"/>
        <i x="5" s="1"/>
        <i x="1" s="1"/>
        <i x="4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2BD8E934-3A5D-4EA2-87D6-CEEE4EC4D539}" sourceName="Month">
  <pivotTables>
    <pivotTable tabId="14" name="PivotTable1"/>
    <pivotTable tabId="15" name="PivotTable2"/>
    <pivotTable tabId="16" name="PivotTable3"/>
    <pivotTable tabId="18" name="PivotTable5"/>
    <pivotTable tabId="19" name="PivotTable7"/>
    <pivotTable tabId="20" name="PivotTable3"/>
  </pivotTables>
  <data>
    <tabular pivotCacheId="1299630943">
      <items count="12">
        <i x="0" s="1"/>
        <i x="2" s="1"/>
        <i x="1" s="1"/>
        <i x="10" s="1"/>
        <i x="7" s="1"/>
        <i x="5" s="1"/>
        <i x="6" s="1"/>
        <i x="3" s="1"/>
        <i x="11" s="1"/>
        <i x="8" s="1"/>
        <i x="4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eaned Region" xr10:uid="{DD42FE9F-EF66-4DED-8370-60251D45E97B}" cache="Slicer_Cleaned_Region" caption="Region" rowHeight="228600"/>
  <slicer name="Month" xr10:uid="{3D99989D-8CB0-4275-A9FC-ACE8961977AB}" cache="Slicer_Month" caption="Month" rowHeight="2286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BCBE44-FD4B-448B-BC80-4D98AE0ED65E}" name="Table5" displayName="Table5" ref="A1:W341" totalsRowShown="0">
  <autoFilter ref="A1:W341" xr:uid="{8CBCBE44-FD4B-448B-BC80-4D98AE0ED65E}"/>
  <tableColumns count="23">
    <tableColumn id="1" xr3:uid="{CECC436A-14E2-496C-B47C-C96B644CD299}" name="Order ID"/>
    <tableColumn id="2" xr3:uid="{5FFBFB6F-9467-4FDF-9DEF-F07BE29682AE}" name="Order Date" dataDxfId="17"/>
    <tableColumn id="3" xr3:uid="{33137726-AAE7-4B13-89D8-2F8E8E8650D7}" name="Cleaned Order Date"/>
    <tableColumn id="4" xr3:uid="{D55A18CB-9194-4562-8746-FF5DE4D633EC}" name="Region"/>
    <tableColumn id="5" xr3:uid="{7C2F84D4-EDA6-4C66-AF97-71EC474F32D6}" name="Cleaned Region">
      <calculatedColumnFormula>IF(TRIM(D2)="","Unknown",PROPER(TRIM(D2)))</calculatedColumnFormula>
    </tableColumn>
    <tableColumn id="6" xr3:uid="{93103DED-A70F-41CC-A95D-CA42129646AF}" name="Sales Rep"/>
    <tableColumn id="7" xr3:uid="{2A076604-6CE7-43F7-A88D-188235027A85}" name="Cleaned Sales Rep">
      <calculatedColumnFormula>PROPER(TRIM(F2))</calculatedColumnFormula>
    </tableColumn>
    <tableColumn id="8" xr3:uid="{AF04C04D-7830-4348-87CF-1BE098335F8A}" name="Product ID"/>
    <tableColumn id="9" xr3:uid="{91AE2C8E-36B3-4A6C-B0FA-BBE948CDD3F4}" name="Product Name"/>
    <tableColumn id="10" xr3:uid="{FDAA4F0B-3709-4767-A7F0-0080379DECD5}" name="Cleaned Product Name">
      <calculatedColumnFormula>PROPER(TRIM(I2))</calculatedColumnFormula>
    </tableColumn>
    <tableColumn id="11" xr3:uid="{67A33282-C4F6-4EEC-BD29-6D3DF70E2DF7}" name="Quantity"/>
    <tableColumn id="12" xr3:uid="{99E7A0A2-2768-498D-94EA-24B6F61ED4D8}" name="New Quantity">
      <calculatedColumnFormula>IF(K2="",0,K2)</calculatedColumnFormula>
    </tableColumn>
    <tableColumn id="13" xr3:uid="{893CE396-E519-4A91-809A-253051E2C833}" name="Unit Price (KES)"/>
    <tableColumn id="14" xr3:uid="{0677270E-88FB-4E81-BA57-C7422602E964}" name="Cleaned Unit Price (KES)">
      <calculatedColumnFormula>IF(M2="",0,M2)</calculatedColumnFormula>
    </tableColumn>
    <tableColumn id="15" xr3:uid="{1ED1D583-1E61-4410-B41F-75B80BA015A1}" name="Flags">
      <calculatedColumnFormula>IF(L2&lt;0,"NEGATIVE QUANTITY","")</calculatedColumnFormula>
    </tableColumn>
    <tableColumn id="16" xr3:uid="{0706396A-C518-41BA-81AA-A4B7F08C45EF}" name="Cleaned Quantity" dataDxfId="16">
      <calculatedColumnFormula>ABS(L2)</calculatedColumnFormula>
    </tableColumn>
    <tableColumn id="17" xr3:uid="{D9719949-B525-478E-9F64-AFCF235A7BFC}" name="Unit Cost">
      <calculatedColumnFormula>VLOOKUP(H2,'Product Cost Lookup'!A:D,4,FALSE)</calculatedColumnFormula>
    </tableColumn>
    <tableColumn id="18" xr3:uid="{437D92D3-71CA-4909-A461-D64401DB16DA}" name="Category">
      <calculatedColumnFormula>VLOOKUP(H2,'Product Cost Lookup'!A:D,3,FALSE)</calculatedColumnFormula>
    </tableColumn>
    <tableColumn id="19" xr3:uid="{E27A6BF6-A551-40D3-8E8F-2E0DC3FE3848}" name="Revenue" dataDxfId="15">
      <calculatedColumnFormula>P2*N2</calculatedColumnFormula>
    </tableColumn>
    <tableColumn id="20" xr3:uid="{BE906F96-82AE-490A-B59A-9E0B49FA088B}" name="Cost" dataDxfId="14">
      <calculatedColumnFormula>P2*Q2</calculatedColumnFormula>
    </tableColumn>
    <tableColumn id="21" xr3:uid="{E0CE9D59-A75B-4B07-BCA2-498AB6F9CFAE}" name="Profit">
      <calculatedColumnFormula>S2-T2</calculatedColumnFormula>
    </tableColumn>
    <tableColumn id="22" xr3:uid="{466C58A1-363B-4152-8BD5-5E45C3A2F72A}" name="Margin %" dataDxfId="13">
      <calculatedColumnFormula>IF(S2=0,0,U2/S2)</calculatedColumnFormula>
    </tableColumn>
    <tableColumn id="23" xr3:uid="{5A8A4C45-C3EE-4440-B7C3-B7A0FA6A7E62}" name="Month">
      <calculatedColumnFormula>TEXT(C2,"mmm")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0FE8E2-F4F7-4331-93AE-58A7D0F7128C}" name="Copy_of_Highland_Distributors_Q1_Sales_RAW_xlsx___Product_Cost_Lookup" displayName="Copy_of_Highland_Distributors_Q1_Sales_RAW_xlsx___Product_Cost_Lookup" ref="A1:D16" tableType="queryTable" totalsRowShown="0">
  <autoFilter ref="A1:D16" xr:uid="{C80FE8E2-F4F7-4331-93AE-58A7D0F7128C}"/>
  <tableColumns count="4">
    <tableColumn id="1" xr3:uid="{93F41ADC-DA8B-4194-9C19-D2C0B7A430A3}" uniqueName="1" name="Product ID" queryTableFieldId="1" dataDxfId="12"/>
    <tableColumn id="2" xr3:uid="{AC19A40C-122B-45BF-A8CB-ED9B85643476}" uniqueName="2" name="Product Name" queryTableFieldId="2" dataDxfId="11"/>
    <tableColumn id="3" xr3:uid="{2A3852BF-C55A-4691-A142-82DCB011BA1F}" uniqueName="3" name="Category" queryTableFieldId="3" dataDxfId="10"/>
    <tableColumn id="4" xr3:uid="{DB1C6C2B-B98B-461B-8CDF-FA3B0FF7AB6C}" uniqueName="4" name="Unit Cost (KES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F8B60D-7C94-4D78-8E6C-B72EDFA47B32}" name="Cleaned_Sales" displayName="Cleaned_Sales" ref="A1:W341" tableType="queryTable" totalsRowShown="0">
  <autoFilter ref="A1:W341" xr:uid="{7BF8B60D-7C94-4D78-8E6C-B72EDFA47B32}"/>
  <tableColumns count="23">
    <tableColumn id="1" xr3:uid="{7B4C4123-0874-436A-85C2-8D84962BD36C}" uniqueName="1" name="Order ID" queryTableFieldId="1"/>
    <tableColumn id="2" xr3:uid="{C91B582E-7777-4456-BF03-E77F1001FC11}" uniqueName="2" name="Order Date" queryTableFieldId="2"/>
    <tableColumn id="3" xr3:uid="{795B4B58-4923-4A93-A7AB-40DDAFAA5C17}" uniqueName="3" name="Cleaned Order Date" queryTableFieldId="3"/>
    <tableColumn id="4" xr3:uid="{AA10F7B1-2100-4116-9738-825FC4E923B3}" uniqueName="4" name="Region" queryTableFieldId="4" dataDxfId="9"/>
    <tableColumn id="5" xr3:uid="{33C41461-56C6-4AFE-95A2-70D0FC94A106}" uniqueName="5" name="Cleaned Region" queryTableFieldId="5" dataDxfId="8"/>
    <tableColumn id="6" xr3:uid="{7C25EFBA-3E01-491F-9C91-8246AA7F248B}" uniqueName="6" name="Sales Rep" queryTableFieldId="6" dataDxfId="7"/>
    <tableColumn id="7" xr3:uid="{E673C729-7292-4239-B57B-C1A45554AAF4}" uniqueName="7" name="Cleaned Sales Rep" queryTableFieldId="7" dataDxfId="6"/>
    <tableColumn id="8" xr3:uid="{089441AD-F8B4-4633-ACB0-DD6FDE5FDAA7}" uniqueName="8" name="Product ID" queryTableFieldId="8" dataDxfId="5"/>
    <tableColumn id="9" xr3:uid="{BFC3722B-0BF9-44C0-B884-D4DB9CEFF3E5}" uniqueName="9" name="Product Name" queryTableFieldId="9" dataDxfId="4"/>
    <tableColumn id="10" xr3:uid="{B1A7DD18-113B-4499-AF6F-BE5EE3664F0F}" uniqueName="10" name="Cleaned Product Name" queryTableFieldId="10" dataDxfId="3"/>
    <tableColumn id="11" xr3:uid="{22CBEBFA-0012-49C9-80C8-483D036F56D9}" uniqueName="11" name="Quantity" queryTableFieldId="11"/>
    <tableColumn id="12" xr3:uid="{29E9F038-E8B5-44CE-B0BE-5F19EC339EBC}" uniqueName="12" name="New Quantity" queryTableFieldId="12"/>
    <tableColumn id="13" xr3:uid="{32EC2619-7869-48AC-A1F3-A0CD7D89FAAB}" uniqueName="13" name="Unit Price (KES)" queryTableFieldId="13"/>
    <tableColumn id="14" xr3:uid="{48F57AF1-8242-42DB-ABA8-CE4E3814D61B}" uniqueName="14" name="Cleaned Unit Price (KES)" queryTableFieldId="14"/>
    <tableColumn id="15" xr3:uid="{55704ED4-8A47-4472-A45D-A7BE4805B5B2}" uniqueName="15" name="Flags" queryTableFieldId="15" dataDxfId="2"/>
    <tableColumn id="16" xr3:uid="{C4229421-30C8-4E6C-94F0-35142CCE6B85}" uniqueName="16" name="Cleaned Quantity" queryTableFieldId="16"/>
    <tableColumn id="17" xr3:uid="{4159671E-11C6-406A-86B2-395ED817478F}" uniqueName="17" name="Unit Cost" queryTableFieldId="17"/>
    <tableColumn id="18" xr3:uid="{E26954FB-8922-44C9-A208-57A7F7CFC322}" uniqueName="18" name="Category" queryTableFieldId="18" dataDxfId="1"/>
    <tableColumn id="19" xr3:uid="{9E711C0E-49EB-4C5D-96A8-D68D73452008}" uniqueName="19" name="Revenue" queryTableFieldId="19"/>
    <tableColumn id="20" xr3:uid="{D5435266-4443-45C4-96CF-C754F12DE3B8}" uniqueName="20" name="Cost" queryTableFieldId="20"/>
    <tableColumn id="21" xr3:uid="{706C97E7-583B-409B-9B70-68ED192AE8D9}" uniqueName="21" name="Profit" queryTableFieldId="21"/>
    <tableColumn id="22" xr3:uid="{DAC0AA52-C1D5-492B-8110-9CCA53FE7F5C}" uniqueName="22" name="Margin %" queryTableFieldId="22"/>
    <tableColumn id="23" xr3:uid="{E9CA9156-B6DB-4116-BEFE-787FF5973FAF}" uniqueName="23" name="Month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AC88-A915-4CB1-AA77-B41C8BEEDC9F}">
  <dimension ref="A1:H35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10008</v>
      </c>
      <c r="B2" s="1">
        <v>45306</v>
      </c>
      <c r="C2" t="s">
        <v>8</v>
      </c>
      <c r="D2" t="s">
        <v>9</v>
      </c>
      <c r="E2" t="s">
        <v>10</v>
      </c>
      <c r="F2" t="s">
        <v>11</v>
      </c>
      <c r="G2">
        <v>20</v>
      </c>
      <c r="H2">
        <v>1350</v>
      </c>
    </row>
    <row r="3" spans="1:8">
      <c r="A3">
        <v>10300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  <c r="G3">
        <v>6</v>
      </c>
      <c r="H3">
        <v>1350</v>
      </c>
    </row>
    <row r="4" spans="1:8">
      <c r="A4">
        <v>10328</v>
      </c>
      <c r="B4" s="2">
        <v>45338</v>
      </c>
      <c r="C4" t="s">
        <v>15</v>
      </c>
      <c r="D4" t="s">
        <v>16</v>
      </c>
      <c r="E4" t="s">
        <v>17</v>
      </c>
      <c r="F4" t="s">
        <v>18</v>
      </c>
      <c r="G4">
        <v>4</v>
      </c>
      <c r="H4">
        <v>600</v>
      </c>
    </row>
    <row r="5" spans="1:8">
      <c r="A5">
        <v>10216</v>
      </c>
      <c r="B5" s="1">
        <v>45373</v>
      </c>
      <c r="C5" t="s">
        <v>19</v>
      </c>
      <c r="D5" t="s">
        <v>20</v>
      </c>
      <c r="E5" t="s">
        <v>21</v>
      </c>
      <c r="F5" t="s">
        <v>22</v>
      </c>
      <c r="G5">
        <v>10</v>
      </c>
      <c r="H5">
        <v>2300</v>
      </c>
    </row>
    <row r="6" spans="1:8">
      <c r="A6">
        <v>10065</v>
      </c>
      <c r="B6" s="1">
        <v>45505</v>
      </c>
      <c r="C6" t="s">
        <v>23</v>
      </c>
      <c r="D6" t="s">
        <v>24</v>
      </c>
      <c r="E6" t="s">
        <v>25</v>
      </c>
      <c r="F6" t="s">
        <v>26</v>
      </c>
      <c r="G6">
        <v>8</v>
      </c>
      <c r="H6">
        <v>420</v>
      </c>
    </row>
    <row r="7" spans="1:8">
      <c r="A7">
        <v>10222</v>
      </c>
      <c r="B7" s="2">
        <v>45339</v>
      </c>
      <c r="C7" t="s">
        <v>15</v>
      </c>
      <c r="D7" t="s">
        <v>27</v>
      </c>
      <c r="E7" t="s">
        <v>17</v>
      </c>
      <c r="F7" t="s">
        <v>18</v>
      </c>
      <c r="G7">
        <v>5</v>
      </c>
      <c r="H7">
        <v>600</v>
      </c>
    </row>
    <row r="8" spans="1:8">
      <c r="A8">
        <v>10140</v>
      </c>
      <c r="B8" t="s">
        <v>28</v>
      </c>
      <c r="C8" t="s">
        <v>29</v>
      </c>
      <c r="D8" t="s">
        <v>14</v>
      </c>
      <c r="E8" t="s">
        <v>30</v>
      </c>
      <c r="F8" t="s">
        <v>31</v>
      </c>
      <c r="G8">
        <v>15</v>
      </c>
      <c r="H8">
        <v>1750</v>
      </c>
    </row>
    <row r="9" spans="1:8">
      <c r="A9">
        <v>10268</v>
      </c>
      <c r="B9" t="s">
        <v>32</v>
      </c>
      <c r="C9" t="s">
        <v>15</v>
      </c>
      <c r="D9" t="s">
        <v>14</v>
      </c>
      <c r="E9" t="s">
        <v>33</v>
      </c>
      <c r="F9" t="s">
        <v>34</v>
      </c>
      <c r="G9">
        <v>6</v>
      </c>
      <c r="H9">
        <v>700</v>
      </c>
    </row>
    <row r="10" spans="1:8">
      <c r="A10">
        <v>10025</v>
      </c>
      <c r="B10" s="1">
        <v>45323</v>
      </c>
      <c r="C10" t="s">
        <v>35</v>
      </c>
      <c r="D10" t="s">
        <v>36</v>
      </c>
      <c r="E10" t="s">
        <v>10</v>
      </c>
      <c r="F10" t="s">
        <v>11</v>
      </c>
      <c r="G10">
        <v>2</v>
      </c>
      <c r="H10">
        <v>1350</v>
      </c>
    </row>
    <row r="11" spans="1:8">
      <c r="A11">
        <v>10205</v>
      </c>
      <c r="B11" s="1">
        <v>45599</v>
      </c>
      <c r="C11" t="s">
        <v>37</v>
      </c>
      <c r="D11" t="s">
        <v>16</v>
      </c>
      <c r="E11" t="s">
        <v>38</v>
      </c>
      <c r="F11" t="s">
        <v>39</v>
      </c>
      <c r="G11">
        <v>2</v>
      </c>
      <c r="H11">
        <v>500</v>
      </c>
    </row>
    <row r="12" spans="1:8">
      <c r="A12">
        <v>10188</v>
      </c>
      <c r="B12" s="1">
        <v>45370</v>
      </c>
      <c r="C12" t="s">
        <v>40</v>
      </c>
      <c r="D12" t="s">
        <v>9</v>
      </c>
      <c r="E12" t="s">
        <v>38</v>
      </c>
      <c r="F12" t="s">
        <v>39</v>
      </c>
      <c r="G12">
        <v>6</v>
      </c>
      <c r="H12">
        <v>500</v>
      </c>
    </row>
    <row r="13" spans="1:8">
      <c r="A13">
        <v>10152</v>
      </c>
      <c r="B13" s="1">
        <v>45321</v>
      </c>
      <c r="C13" t="s">
        <v>41</v>
      </c>
      <c r="D13" t="s">
        <v>42</v>
      </c>
      <c r="E13" t="s">
        <v>38</v>
      </c>
      <c r="F13" t="s">
        <v>39</v>
      </c>
      <c r="G13">
        <v>12</v>
      </c>
      <c r="H13">
        <v>500</v>
      </c>
    </row>
    <row r="14" spans="1:8">
      <c r="A14">
        <v>10137</v>
      </c>
      <c r="B14" s="1">
        <v>45325</v>
      </c>
      <c r="C14" t="s">
        <v>41</v>
      </c>
      <c r="D14" t="s">
        <v>14</v>
      </c>
      <c r="E14" t="s">
        <v>38</v>
      </c>
      <c r="F14" t="s">
        <v>39</v>
      </c>
      <c r="G14">
        <v>-5</v>
      </c>
      <c r="H14">
        <v>500</v>
      </c>
    </row>
    <row r="15" spans="1:8">
      <c r="A15">
        <v>10107</v>
      </c>
      <c r="B15" s="1">
        <v>45296</v>
      </c>
      <c r="C15" t="s">
        <v>35</v>
      </c>
      <c r="D15" t="s">
        <v>43</v>
      </c>
      <c r="E15" t="s">
        <v>17</v>
      </c>
      <c r="F15" t="s">
        <v>44</v>
      </c>
      <c r="G15">
        <v>4</v>
      </c>
      <c r="H15">
        <v>500</v>
      </c>
    </row>
    <row r="16" spans="1:8">
      <c r="A16">
        <v>10067</v>
      </c>
      <c r="B16" s="1">
        <v>45346</v>
      </c>
      <c r="C16" t="s">
        <v>45</v>
      </c>
      <c r="D16" t="s">
        <v>46</v>
      </c>
      <c r="E16" t="s">
        <v>38</v>
      </c>
      <c r="F16" t="s">
        <v>39</v>
      </c>
      <c r="G16">
        <v>5</v>
      </c>
      <c r="H16">
        <v>500</v>
      </c>
    </row>
    <row r="17" spans="1:8">
      <c r="A17">
        <v>10030</v>
      </c>
      <c r="B17" s="1">
        <v>45445</v>
      </c>
      <c r="C17" t="s">
        <v>47</v>
      </c>
      <c r="D17" t="s">
        <v>48</v>
      </c>
      <c r="E17" t="s">
        <v>10</v>
      </c>
      <c r="F17" t="s">
        <v>11</v>
      </c>
      <c r="G17">
        <v>15</v>
      </c>
      <c r="H17">
        <v>1400</v>
      </c>
    </row>
    <row r="18" spans="1:8">
      <c r="A18">
        <v>10109</v>
      </c>
      <c r="B18" s="1">
        <v>45597</v>
      </c>
      <c r="C18" t="s">
        <v>45</v>
      </c>
      <c r="D18" t="s">
        <v>49</v>
      </c>
      <c r="E18" t="s">
        <v>50</v>
      </c>
      <c r="F18" t="s">
        <v>51</v>
      </c>
      <c r="G18">
        <v>8</v>
      </c>
      <c r="H18">
        <v>1550</v>
      </c>
    </row>
    <row r="19" spans="1:8">
      <c r="A19">
        <v>10218</v>
      </c>
      <c r="B19" s="1">
        <v>45365</v>
      </c>
      <c r="C19" t="s">
        <v>40</v>
      </c>
      <c r="D19" t="s">
        <v>52</v>
      </c>
      <c r="E19" t="s">
        <v>53</v>
      </c>
      <c r="F19" t="s">
        <v>54</v>
      </c>
      <c r="G19">
        <v>10</v>
      </c>
      <c r="H19">
        <v>900</v>
      </c>
    </row>
    <row r="20" spans="1:8">
      <c r="A20">
        <v>10228</v>
      </c>
      <c r="B20" s="1">
        <v>45381</v>
      </c>
      <c r="C20" t="s">
        <v>40</v>
      </c>
      <c r="D20" t="s">
        <v>16</v>
      </c>
      <c r="E20" t="s">
        <v>55</v>
      </c>
      <c r="F20" t="s">
        <v>56</v>
      </c>
      <c r="G20">
        <v>4</v>
      </c>
      <c r="H20">
        <v>780</v>
      </c>
    </row>
    <row r="21" spans="1:8">
      <c r="A21">
        <v>10111</v>
      </c>
      <c r="B21" t="s">
        <v>57</v>
      </c>
      <c r="C21" t="s">
        <v>58</v>
      </c>
      <c r="D21" t="s">
        <v>36</v>
      </c>
      <c r="E21" t="s">
        <v>55</v>
      </c>
      <c r="F21" t="s">
        <v>56</v>
      </c>
      <c r="G21">
        <v>15</v>
      </c>
      <c r="H21">
        <v>830</v>
      </c>
    </row>
    <row r="22" spans="1:8">
      <c r="A22">
        <v>10255</v>
      </c>
      <c r="B22" s="1">
        <v>45446</v>
      </c>
      <c r="C22" t="s">
        <v>59</v>
      </c>
      <c r="D22" t="s">
        <v>14</v>
      </c>
      <c r="E22" t="s">
        <v>33</v>
      </c>
      <c r="F22" t="s">
        <v>60</v>
      </c>
      <c r="G22">
        <v>20</v>
      </c>
      <c r="H22">
        <v>750</v>
      </c>
    </row>
    <row r="23" spans="1:8">
      <c r="A23">
        <v>10236</v>
      </c>
      <c r="B23" s="1">
        <v>45335</v>
      </c>
      <c r="C23" t="s">
        <v>40</v>
      </c>
      <c r="D23" t="s">
        <v>14</v>
      </c>
      <c r="E23" t="s">
        <v>33</v>
      </c>
      <c r="F23" t="s">
        <v>34</v>
      </c>
      <c r="G23">
        <v>12</v>
      </c>
      <c r="H23">
        <v>750</v>
      </c>
    </row>
    <row r="24" spans="1:8">
      <c r="A24">
        <v>10055</v>
      </c>
      <c r="B24" t="s">
        <v>61</v>
      </c>
      <c r="C24" t="s">
        <v>35</v>
      </c>
      <c r="D24" t="s">
        <v>62</v>
      </c>
      <c r="E24" t="s">
        <v>10</v>
      </c>
      <c r="F24" t="s">
        <v>11</v>
      </c>
      <c r="G24">
        <v>3</v>
      </c>
      <c r="H24">
        <v>1350</v>
      </c>
    </row>
    <row r="25" spans="1:8">
      <c r="A25">
        <v>10090</v>
      </c>
      <c r="B25" s="2">
        <v>45335</v>
      </c>
      <c r="C25" t="s">
        <v>15</v>
      </c>
      <c r="D25" t="s">
        <v>24</v>
      </c>
      <c r="E25" t="s">
        <v>10</v>
      </c>
      <c r="F25" t="s">
        <v>11</v>
      </c>
      <c r="G25">
        <v>3</v>
      </c>
      <c r="H25">
        <v>1250</v>
      </c>
    </row>
    <row r="26" spans="1:8">
      <c r="A26">
        <v>10197</v>
      </c>
      <c r="B26" s="1">
        <v>45338</v>
      </c>
      <c r="C26" t="s">
        <v>63</v>
      </c>
      <c r="D26" t="s">
        <v>9</v>
      </c>
      <c r="E26" t="s">
        <v>53</v>
      </c>
      <c r="F26" t="s">
        <v>54</v>
      </c>
      <c r="G26">
        <v>1</v>
      </c>
      <c r="H26">
        <v>1050</v>
      </c>
    </row>
    <row r="27" spans="1:8">
      <c r="A27">
        <v>10242</v>
      </c>
      <c r="B27" s="1">
        <v>45368</v>
      </c>
      <c r="D27" t="s">
        <v>64</v>
      </c>
      <c r="E27" t="s">
        <v>65</v>
      </c>
      <c r="F27" t="s">
        <v>66</v>
      </c>
      <c r="G27">
        <v>20</v>
      </c>
      <c r="H27">
        <v>650</v>
      </c>
    </row>
    <row r="28" spans="1:8">
      <c r="A28">
        <v>10289</v>
      </c>
      <c r="B28" t="s">
        <v>67</v>
      </c>
      <c r="C28" t="s">
        <v>41</v>
      </c>
      <c r="D28" t="s">
        <v>68</v>
      </c>
      <c r="E28" t="s">
        <v>50</v>
      </c>
      <c r="F28" t="s">
        <v>69</v>
      </c>
      <c r="G28">
        <v>1</v>
      </c>
      <c r="H28">
        <v>1450</v>
      </c>
    </row>
    <row r="29" spans="1:8">
      <c r="A29">
        <v>10108</v>
      </c>
      <c r="B29" t="s">
        <v>70</v>
      </c>
      <c r="C29" t="s">
        <v>23</v>
      </c>
      <c r="D29" t="s">
        <v>46</v>
      </c>
      <c r="E29" t="s">
        <v>50</v>
      </c>
      <c r="F29" t="s">
        <v>71</v>
      </c>
      <c r="G29">
        <v>6</v>
      </c>
      <c r="H29">
        <v>1500</v>
      </c>
    </row>
    <row r="30" spans="1:8">
      <c r="A30">
        <v>10087</v>
      </c>
      <c r="B30" s="1">
        <v>45342</v>
      </c>
      <c r="D30" t="s">
        <v>62</v>
      </c>
      <c r="E30" t="s">
        <v>17</v>
      </c>
      <c r="F30" t="s">
        <v>18</v>
      </c>
      <c r="G30">
        <v>4</v>
      </c>
      <c r="H30">
        <v>550</v>
      </c>
    </row>
    <row r="31" spans="1:8">
      <c r="A31">
        <v>10263</v>
      </c>
      <c r="B31" s="2">
        <v>45328</v>
      </c>
      <c r="C31" t="s">
        <v>29</v>
      </c>
      <c r="D31" t="s">
        <v>46</v>
      </c>
      <c r="E31" t="s">
        <v>53</v>
      </c>
      <c r="F31" t="s">
        <v>72</v>
      </c>
      <c r="G31">
        <v>1</v>
      </c>
      <c r="H31">
        <v>950</v>
      </c>
    </row>
    <row r="32" spans="1:8">
      <c r="A32">
        <v>10038</v>
      </c>
      <c r="B32" s="1">
        <v>45376</v>
      </c>
      <c r="C32" t="s">
        <v>58</v>
      </c>
      <c r="D32" t="s">
        <v>16</v>
      </c>
      <c r="E32" t="s">
        <v>33</v>
      </c>
      <c r="F32" t="s">
        <v>60</v>
      </c>
      <c r="G32">
        <v>8</v>
      </c>
      <c r="H32">
        <v>700</v>
      </c>
    </row>
    <row r="33" spans="1:8">
      <c r="A33">
        <v>10148</v>
      </c>
      <c r="B33" s="1">
        <v>45299</v>
      </c>
      <c r="C33" t="s">
        <v>19</v>
      </c>
      <c r="D33" t="s">
        <v>48</v>
      </c>
      <c r="E33" t="s">
        <v>65</v>
      </c>
      <c r="F33" t="s">
        <v>73</v>
      </c>
      <c r="G33">
        <v>12</v>
      </c>
      <c r="H33">
        <v>750</v>
      </c>
    </row>
    <row r="34" spans="1:8">
      <c r="A34">
        <v>10180</v>
      </c>
      <c r="B34" s="1">
        <v>45382</v>
      </c>
      <c r="C34" t="s">
        <v>19</v>
      </c>
      <c r="D34" t="s">
        <v>48</v>
      </c>
      <c r="E34" t="s">
        <v>53</v>
      </c>
      <c r="F34" t="s">
        <v>72</v>
      </c>
      <c r="G34">
        <v>15</v>
      </c>
      <c r="H34">
        <v>950</v>
      </c>
    </row>
    <row r="35" spans="1:8">
      <c r="A35">
        <v>10027</v>
      </c>
      <c r="B35" s="1">
        <v>45296</v>
      </c>
      <c r="C35" t="s">
        <v>74</v>
      </c>
      <c r="D35" t="s">
        <v>48</v>
      </c>
      <c r="E35" t="s">
        <v>25</v>
      </c>
      <c r="F35" t="s">
        <v>75</v>
      </c>
      <c r="G35">
        <v>6</v>
      </c>
      <c r="H35">
        <v>470</v>
      </c>
    </row>
    <row r="36" spans="1:8">
      <c r="A36">
        <v>10276</v>
      </c>
      <c r="B36" t="s">
        <v>76</v>
      </c>
      <c r="C36" t="s">
        <v>15</v>
      </c>
      <c r="D36" t="s">
        <v>9</v>
      </c>
      <c r="E36" t="s">
        <v>77</v>
      </c>
      <c r="F36" t="s">
        <v>78</v>
      </c>
      <c r="G36">
        <v>15</v>
      </c>
      <c r="H36">
        <v>1850</v>
      </c>
    </row>
    <row r="37" spans="1:8">
      <c r="A37">
        <v>10184</v>
      </c>
      <c r="B37" s="1">
        <v>45308</v>
      </c>
      <c r="C37" t="s">
        <v>79</v>
      </c>
      <c r="D37" t="s">
        <v>80</v>
      </c>
      <c r="E37" t="s">
        <v>10</v>
      </c>
      <c r="F37" t="s">
        <v>11</v>
      </c>
      <c r="G37">
        <v>6</v>
      </c>
      <c r="H37">
        <v>1250</v>
      </c>
    </row>
    <row r="38" spans="1:8">
      <c r="A38">
        <v>10062</v>
      </c>
      <c r="B38" s="1">
        <v>45375</v>
      </c>
      <c r="C38" t="s">
        <v>15</v>
      </c>
      <c r="D38" t="s">
        <v>81</v>
      </c>
      <c r="E38" t="s">
        <v>17</v>
      </c>
      <c r="F38" t="s">
        <v>18</v>
      </c>
      <c r="G38">
        <v>3</v>
      </c>
      <c r="H38">
        <v>650</v>
      </c>
    </row>
    <row r="39" spans="1:8">
      <c r="A39">
        <v>10296</v>
      </c>
      <c r="B39" s="1">
        <v>45375</v>
      </c>
      <c r="C39" t="s">
        <v>79</v>
      </c>
      <c r="D39" t="s">
        <v>46</v>
      </c>
      <c r="E39" t="s">
        <v>30</v>
      </c>
      <c r="F39" t="s">
        <v>31</v>
      </c>
      <c r="G39">
        <v>15</v>
      </c>
      <c r="H39">
        <v>1650</v>
      </c>
    </row>
    <row r="40" spans="1:8">
      <c r="A40">
        <v>10186</v>
      </c>
      <c r="B40" t="s">
        <v>82</v>
      </c>
      <c r="C40" t="s">
        <v>40</v>
      </c>
      <c r="D40" t="s">
        <v>16</v>
      </c>
      <c r="E40" t="s">
        <v>17</v>
      </c>
      <c r="F40" t="s">
        <v>18</v>
      </c>
      <c r="G40">
        <v>4</v>
      </c>
      <c r="H40">
        <v>600</v>
      </c>
    </row>
    <row r="41" spans="1:8">
      <c r="A41">
        <v>10311</v>
      </c>
      <c r="B41" t="s">
        <v>83</v>
      </c>
      <c r="C41" t="s">
        <v>40</v>
      </c>
      <c r="D41" t="s">
        <v>46</v>
      </c>
      <c r="E41" t="s">
        <v>30</v>
      </c>
      <c r="F41" t="s">
        <v>31</v>
      </c>
      <c r="G41">
        <v>5</v>
      </c>
      <c r="H41">
        <v>1800</v>
      </c>
    </row>
    <row r="42" spans="1:8">
      <c r="A42">
        <v>10170</v>
      </c>
      <c r="B42" s="1">
        <v>45336</v>
      </c>
      <c r="C42" t="s">
        <v>74</v>
      </c>
      <c r="D42" t="s">
        <v>84</v>
      </c>
      <c r="E42" t="s">
        <v>50</v>
      </c>
      <c r="F42" t="s">
        <v>71</v>
      </c>
      <c r="G42">
        <v>5</v>
      </c>
      <c r="H42">
        <v>1500</v>
      </c>
    </row>
    <row r="43" spans="1:8">
      <c r="A43">
        <v>10044</v>
      </c>
      <c r="B43" s="2">
        <v>45367</v>
      </c>
      <c r="C43" t="s">
        <v>35</v>
      </c>
      <c r="D43" t="s">
        <v>85</v>
      </c>
      <c r="E43" t="s">
        <v>55</v>
      </c>
      <c r="F43" t="s">
        <v>56</v>
      </c>
      <c r="G43">
        <v>4</v>
      </c>
      <c r="H43">
        <v>730</v>
      </c>
    </row>
    <row r="44" spans="1:8">
      <c r="A44">
        <v>10213</v>
      </c>
      <c r="B44" s="1">
        <v>45333</v>
      </c>
      <c r="C44" t="s">
        <v>74</v>
      </c>
      <c r="D44" t="s">
        <v>62</v>
      </c>
      <c r="E44" t="s">
        <v>53</v>
      </c>
      <c r="F44" t="s">
        <v>54</v>
      </c>
      <c r="G44">
        <v>15</v>
      </c>
      <c r="H44">
        <v>950</v>
      </c>
    </row>
    <row r="45" spans="1:8">
      <c r="A45">
        <v>10003</v>
      </c>
      <c r="B45" s="1">
        <v>45335</v>
      </c>
      <c r="C45" t="s">
        <v>74</v>
      </c>
      <c r="D45" t="s">
        <v>16</v>
      </c>
      <c r="E45" t="s">
        <v>65</v>
      </c>
      <c r="F45" t="s">
        <v>73</v>
      </c>
      <c r="G45">
        <v>2</v>
      </c>
      <c r="H45">
        <v>650</v>
      </c>
    </row>
    <row r="46" spans="1:8">
      <c r="A46">
        <v>10284</v>
      </c>
      <c r="B46" s="1">
        <v>45358</v>
      </c>
      <c r="C46" t="s">
        <v>40</v>
      </c>
      <c r="D46" t="s">
        <v>86</v>
      </c>
      <c r="E46" t="s">
        <v>55</v>
      </c>
      <c r="F46" t="s">
        <v>56</v>
      </c>
      <c r="G46">
        <v>5</v>
      </c>
      <c r="H46">
        <v>880</v>
      </c>
    </row>
    <row r="47" spans="1:8">
      <c r="A47">
        <v>10125</v>
      </c>
      <c r="B47" t="s">
        <v>87</v>
      </c>
      <c r="C47" t="s">
        <v>29</v>
      </c>
      <c r="D47" t="s">
        <v>88</v>
      </c>
      <c r="E47" t="s">
        <v>10</v>
      </c>
      <c r="F47" t="s">
        <v>11</v>
      </c>
      <c r="G47">
        <v>10</v>
      </c>
      <c r="H47">
        <v>1400</v>
      </c>
    </row>
    <row r="48" spans="1:8">
      <c r="A48">
        <v>10173</v>
      </c>
      <c r="B48" s="1">
        <v>45367</v>
      </c>
      <c r="C48" t="s">
        <v>41</v>
      </c>
      <c r="D48" t="s">
        <v>48</v>
      </c>
      <c r="E48" t="s">
        <v>17</v>
      </c>
      <c r="F48" t="s">
        <v>18</v>
      </c>
      <c r="G48">
        <v>4</v>
      </c>
      <c r="H48">
        <v>550</v>
      </c>
    </row>
    <row r="49" spans="1:8">
      <c r="A49">
        <v>10312</v>
      </c>
      <c r="B49" s="1">
        <v>45294</v>
      </c>
      <c r="C49" t="s">
        <v>15</v>
      </c>
      <c r="D49" t="s">
        <v>52</v>
      </c>
      <c r="E49" t="s">
        <v>33</v>
      </c>
      <c r="F49" t="s">
        <v>60</v>
      </c>
      <c r="G49">
        <v>5</v>
      </c>
      <c r="H49">
        <v>650</v>
      </c>
    </row>
    <row r="50" spans="1:8">
      <c r="A50">
        <v>10115</v>
      </c>
      <c r="B50" s="1">
        <v>45599</v>
      </c>
      <c r="C50" t="s">
        <v>15</v>
      </c>
      <c r="D50" t="s">
        <v>20</v>
      </c>
      <c r="E50" t="s">
        <v>50</v>
      </c>
      <c r="F50" t="s">
        <v>89</v>
      </c>
      <c r="G50">
        <v>5</v>
      </c>
      <c r="H50">
        <v>1500</v>
      </c>
    </row>
    <row r="51" spans="1:8">
      <c r="A51">
        <v>10291</v>
      </c>
      <c r="B51" s="1">
        <v>45353</v>
      </c>
      <c r="C51" t="s">
        <v>41</v>
      </c>
      <c r="D51" t="s">
        <v>24</v>
      </c>
      <c r="E51" t="s">
        <v>90</v>
      </c>
      <c r="F51" t="s">
        <v>91</v>
      </c>
      <c r="G51">
        <v>15</v>
      </c>
      <c r="H51">
        <v>5150</v>
      </c>
    </row>
    <row r="52" spans="1:8">
      <c r="A52">
        <v>10234</v>
      </c>
      <c r="B52" s="2">
        <v>45376</v>
      </c>
      <c r="C52" t="s">
        <v>92</v>
      </c>
      <c r="D52" t="s">
        <v>46</v>
      </c>
      <c r="E52" t="s">
        <v>93</v>
      </c>
      <c r="F52" t="s">
        <v>94</v>
      </c>
      <c r="G52">
        <v>20</v>
      </c>
      <c r="H52">
        <v>1050</v>
      </c>
    </row>
    <row r="53" spans="1:8">
      <c r="A53">
        <v>10335</v>
      </c>
      <c r="B53" s="2">
        <v>45374</v>
      </c>
      <c r="C53" t="s">
        <v>95</v>
      </c>
      <c r="D53" t="s">
        <v>62</v>
      </c>
      <c r="E53" t="s">
        <v>30</v>
      </c>
      <c r="F53" t="s">
        <v>31</v>
      </c>
      <c r="G53">
        <v>15</v>
      </c>
      <c r="H53">
        <v>1750</v>
      </c>
    </row>
    <row r="54" spans="1:8">
      <c r="A54">
        <v>10041</v>
      </c>
      <c r="B54" s="2">
        <v>45312</v>
      </c>
      <c r="C54" t="s">
        <v>35</v>
      </c>
      <c r="D54" t="s">
        <v>16</v>
      </c>
      <c r="E54" t="s">
        <v>90</v>
      </c>
      <c r="F54" t="s">
        <v>96</v>
      </c>
      <c r="G54">
        <v>1</v>
      </c>
      <c r="H54">
        <v>5200</v>
      </c>
    </row>
    <row r="55" spans="1:8">
      <c r="A55">
        <v>10093</v>
      </c>
      <c r="B55" s="1">
        <v>45445</v>
      </c>
      <c r="C55" t="s">
        <v>74</v>
      </c>
      <c r="D55" t="s">
        <v>16</v>
      </c>
      <c r="E55" t="s">
        <v>90</v>
      </c>
      <c r="F55" t="s">
        <v>96</v>
      </c>
      <c r="G55">
        <v>15</v>
      </c>
      <c r="H55">
        <v>5300</v>
      </c>
    </row>
    <row r="56" spans="1:8">
      <c r="A56">
        <v>10018</v>
      </c>
      <c r="B56" s="1">
        <v>45446</v>
      </c>
      <c r="C56" t="s">
        <v>74</v>
      </c>
      <c r="D56" t="s">
        <v>9</v>
      </c>
      <c r="E56" t="s">
        <v>50</v>
      </c>
      <c r="F56" t="s">
        <v>89</v>
      </c>
      <c r="G56">
        <v>15</v>
      </c>
      <c r="H56">
        <v>1400</v>
      </c>
    </row>
    <row r="57" spans="1:8">
      <c r="A57">
        <v>10209</v>
      </c>
      <c r="B57" s="1">
        <v>45337</v>
      </c>
      <c r="D57" t="s">
        <v>81</v>
      </c>
      <c r="E57" t="s">
        <v>25</v>
      </c>
      <c r="F57" t="s">
        <v>97</v>
      </c>
      <c r="G57">
        <v>15</v>
      </c>
      <c r="H57">
        <v>520</v>
      </c>
    </row>
    <row r="58" spans="1:8">
      <c r="A58">
        <v>10298</v>
      </c>
      <c r="B58" s="1">
        <v>45358</v>
      </c>
      <c r="C58" t="s">
        <v>98</v>
      </c>
      <c r="D58" t="s">
        <v>16</v>
      </c>
      <c r="E58" t="s">
        <v>21</v>
      </c>
      <c r="F58" t="s">
        <v>99</v>
      </c>
      <c r="G58">
        <v>2</v>
      </c>
      <c r="H58">
        <v>2400</v>
      </c>
    </row>
    <row r="59" spans="1:8">
      <c r="A59">
        <v>10080</v>
      </c>
      <c r="B59" s="1">
        <v>45356</v>
      </c>
      <c r="C59" t="s">
        <v>100</v>
      </c>
      <c r="D59" t="s">
        <v>48</v>
      </c>
      <c r="E59" t="s">
        <v>50</v>
      </c>
      <c r="F59" t="s">
        <v>71</v>
      </c>
      <c r="G59">
        <v>2</v>
      </c>
      <c r="H59">
        <v>1550</v>
      </c>
    </row>
    <row r="60" spans="1:8">
      <c r="A60">
        <v>10099</v>
      </c>
      <c r="B60" t="s">
        <v>61</v>
      </c>
      <c r="C60" t="s">
        <v>101</v>
      </c>
      <c r="D60" t="s">
        <v>102</v>
      </c>
      <c r="E60" t="s">
        <v>38</v>
      </c>
      <c r="F60" t="s">
        <v>39</v>
      </c>
      <c r="G60">
        <v>15</v>
      </c>
      <c r="H60">
        <v>500</v>
      </c>
    </row>
    <row r="61" spans="1:8">
      <c r="A61">
        <v>10012</v>
      </c>
      <c r="B61" s="1">
        <v>45319</v>
      </c>
      <c r="C61" t="s">
        <v>19</v>
      </c>
      <c r="D61" t="s">
        <v>42</v>
      </c>
      <c r="E61" t="s">
        <v>30</v>
      </c>
      <c r="F61" t="s">
        <v>31</v>
      </c>
      <c r="G61">
        <v>5</v>
      </c>
      <c r="H61">
        <v>1750</v>
      </c>
    </row>
    <row r="62" spans="1:8">
      <c r="A62">
        <v>10246</v>
      </c>
      <c r="B62" s="1">
        <v>45312</v>
      </c>
      <c r="C62" t="s">
        <v>74</v>
      </c>
      <c r="D62" t="s">
        <v>81</v>
      </c>
      <c r="E62" t="s">
        <v>21</v>
      </c>
      <c r="F62" t="s">
        <v>103</v>
      </c>
      <c r="G62">
        <v>4</v>
      </c>
    </row>
    <row r="63" spans="1:8">
      <c r="A63">
        <v>10097</v>
      </c>
      <c r="B63" s="1">
        <v>45374</v>
      </c>
      <c r="C63" t="s">
        <v>92</v>
      </c>
      <c r="D63" t="s">
        <v>104</v>
      </c>
      <c r="E63" t="s">
        <v>33</v>
      </c>
      <c r="F63" t="s">
        <v>60</v>
      </c>
      <c r="G63">
        <v>20</v>
      </c>
      <c r="H63">
        <v>800</v>
      </c>
    </row>
    <row r="64" spans="1:8">
      <c r="A64">
        <v>10337</v>
      </c>
      <c r="B64" s="2">
        <v>45303</v>
      </c>
      <c r="C64" t="s">
        <v>47</v>
      </c>
      <c r="D64" t="s">
        <v>105</v>
      </c>
      <c r="E64" t="s">
        <v>93</v>
      </c>
      <c r="F64" t="s">
        <v>94</v>
      </c>
      <c r="G64">
        <v>8</v>
      </c>
      <c r="H64">
        <v>1100</v>
      </c>
    </row>
    <row r="65" spans="1:8">
      <c r="A65">
        <v>10330</v>
      </c>
      <c r="B65" s="1">
        <v>45372</v>
      </c>
      <c r="C65" t="s">
        <v>15</v>
      </c>
      <c r="D65" t="s">
        <v>105</v>
      </c>
      <c r="E65" t="s">
        <v>30</v>
      </c>
      <c r="F65" t="s">
        <v>31</v>
      </c>
      <c r="G65">
        <v>2</v>
      </c>
      <c r="H65">
        <v>1800</v>
      </c>
    </row>
    <row r="66" spans="1:8">
      <c r="A66">
        <v>10151</v>
      </c>
      <c r="B66" s="1">
        <v>45332</v>
      </c>
      <c r="C66" t="s">
        <v>106</v>
      </c>
      <c r="D66" t="s">
        <v>24</v>
      </c>
      <c r="E66" t="s">
        <v>25</v>
      </c>
      <c r="F66" t="s">
        <v>97</v>
      </c>
      <c r="G66">
        <v>8</v>
      </c>
      <c r="H66">
        <v>370</v>
      </c>
    </row>
    <row r="67" spans="1:8">
      <c r="A67">
        <v>10264</v>
      </c>
      <c r="B67" s="1">
        <v>45322</v>
      </c>
      <c r="C67" t="s">
        <v>19</v>
      </c>
      <c r="D67" t="s">
        <v>46</v>
      </c>
      <c r="E67" t="s">
        <v>30</v>
      </c>
      <c r="F67" t="s">
        <v>31</v>
      </c>
      <c r="G67">
        <v>20</v>
      </c>
      <c r="H67">
        <v>1650</v>
      </c>
    </row>
    <row r="68" spans="1:8">
      <c r="A68">
        <v>10280</v>
      </c>
      <c r="B68" s="1">
        <v>45353</v>
      </c>
      <c r="C68" t="s">
        <v>40</v>
      </c>
      <c r="D68" t="s">
        <v>16</v>
      </c>
      <c r="E68" t="s">
        <v>30</v>
      </c>
      <c r="F68" t="s">
        <v>31</v>
      </c>
      <c r="G68">
        <v>2</v>
      </c>
      <c r="H68">
        <v>1650</v>
      </c>
    </row>
    <row r="69" spans="1:8">
      <c r="A69">
        <v>10108</v>
      </c>
      <c r="B69" t="s">
        <v>70</v>
      </c>
      <c r="C69" t="s">
        <v>23</v>
      </c>
      <c r="D69" t="s">
        <v>46</v>
      </c>
      <c r="E69" t="s">
        <v>50</v>
      </c>
      <c r="F69" t="s">
        <v>71</v>
      </c>
      <c r="G69">
        <v>6</v>
      </c>
      <c r="H69">
        <v>1500</v>
      </c>
    </row>
    <row r="70" spans="1:8">
      <c r="A70">
        <v>10072</v>
      </c>
      <c r="B70" t="s">
        <v>107</v>
      </c>
      <c r="C70" t="s">
        <v>40</v>
      </c>
      <c r="D70" t="s">
        <v>14</v>
      </c>
      <c r="E70" t="s">
        <v>38</v>
      </c>
      <c r="F70" t="s">
        <v>39</v>
      </c>
      <c r="G70">
        <v>1</v>
      </c>
      <c r="H70">
        <v>600</v>
      </c>
    </row>
    <row r="71" spans="1:8">
      <c r="A71">
        <v>10077</v>
      </c>
      <c r="B71" s="1">
        <v>45376</v>
      </c>
      <c r="C71" t="s">
        <v>58</v>
      </c>
      <c r="D71" t="s">
        <v>9</v>
      </c>
      <c r="E71" t="s">
        <v>17</v>
      </c>
      <c r="F71" t="s">
        <v>18</v>
      </c>
      <c r="G71">
        <v>6</v>
      </c>
    </row>
    <row r="72" spans="1:8">
      <c r="A72">
        <v>10201</v>
      </c>
      <c r="B72" t="s">
        <v>108</v>
      </c>
      <c r="C72" t="s">
        <v>40</v>
      </c>
      <c r="D72" t="s">
        <v>109</v>
      </c>
      <c r="E72" t="s">
        <v>50</v>
      </c>
      <c r="F72" t="s">
        <v>89</v>
      </c>
      <c r="G72">
        <v>1</v>
      </c>
      <c r="H72">
        <v>1450</v>
      </c>
    </row>
    <row r="73" spans="1:8">
      <c r="A73">
        <v>10204</v>
      </c>
      <c r="B73" s="1">
        <v>45379</v>
      </c>
      <c r="C73" t="s">
        <v>35</v>
      </c>
      <c r="D73" t="s">
        <v>110</v>
      </c>
      <c r="E73" t="s">
        <v>77</v>
      </c>
      <c r="F73" t="s">
        <v>78</v>
      </c>
      <c r="G73">
        <v>6</v>
      </c>
      <c r="H73">
        <v>1850</v>
      </c>
    </row>
    <row r="74" spans="1:8">
      <c r="A74">
        <v>10176</v>
      </c>
      <c r="B74" s="1">
        <v>45373</v>
      </c>
      <c r="C74" t="s">
        <v>19</v>
      </c>
      <c r="D74" t="s">
        <v>9</v>
      </c>
      <c r="E74" t="s">
        <v>111</v>
      </c>
      <c r="F74" t="s">
        <v>112</v>
      </c>
      <c r="G74">
        <v>3</v>
      </c>
      <c r="H74">
        <v>950</v>
      </c>
    </row>
    <row r="75" spans="1:8">
      <c r="A75">
        <v>10059</v>
      </c>
      <c r="B75" s="2">
        <v>45329</v>
      </c>
      <c r="C75" t="s">
        <v>19</v>
      </c>
      <c r="D75" t="s">
        <v>46</v>
      </c>
      <c r="E75" t="s">
        <v>65</v>
      </c>
      <c r="F75" t="s">
        <v>73</v>
      </c>
      <c r="G75">
        <v>10</v>
      </c>
      <c r="H75">
        <v>700</v>
      </c>
    </row>
    <row r="76" spans="1:8">
      <c r="A76">
        <v>10002</v>
      </c>
      <c r="B76" s="1">
        <v>45295</v>
      </c>
      <c r="C76" t="s">
        <v>19</v>
      </c>
      <c r="D76" t="s">
        <v>52</v>
      </c>
      <c r="E76" t="s">
        <v>30</v>
      </c>
      <c r="F76" t="s">
        <v>31</v>
      </c>
      <c r="G76">
        <v>20</v>
      </c>
      <c r="H76">
        <v>1800</v>
      </c>
    </row>
    <row r="77" spans="1:8">
      <c r="A77">
        <v>10189</v>
      </c>
      <c r="B77" t="s">
        <v>113</v>
      </c>
      <c r="C77" t="s">
        <v>41</v>
      </c>
      <c r="D77" t="s">
        <v>24</v>
      </c>
      <c r="E77" t="s">
        <v>10</v>
      </c>
      <c r="F77" t="s">
        <v>11</v>
      </c>
      <c r="G77">
        <v>3</v>
      </c>
      <c r="H77">
        <v>1300</v>
      </c>
    </row>
    <row r="78" spans="1:8">
      <c r="A78">
        <v>10001</v>
      </c>
      <c r="B78" s="1">
        <v>45373</v>
      </c>
      <c r="C78" t="s">
        <v>74</v>
      </c>
      <c r="D78" t="s">
        <v>62</v>
      </c>
      <c r="E78" t="s">
        <v>30</v>
      </c>
      <c r="F78" t="s">
        <v>31</v>
      </c>
      <c r="G78">
        <v>5</v>
      </c>
      <c r="H78">
        <v>1700</v>
      </c>
    </row>
    <row r="79" spans="1:8">
      <c r="A79">
        <v>10026</v>
      </c>
      <c r="B79" s="1">
        <v>45327</v>
      </c>
      <c r="C79" t="s">
        <v>74</v>
      </c>
      <c r="D79" t="s">
        <v>46</v>
      </c>
      <c r="E79" t="s">
        <v>25</v>
      </c>
      <c r="F79" t="s">
        <v>97</v>
      </c>
      <c r="G79">
        <v>20</v>
      </c>
      <c r="H79">
        <v>520</v>
      </c>
    </row>
    <row r="80" spans="1:8">
      <c r="A80">
        <v>10281</v>
      </c>
      <c r="B80" s="1">
        <v>45352</v>
      </c>
      <c r="C80" t="s">
        <v>29</v>
      </c>
      <c r="D80" t="s">
        <v>68</v>
      </c>
      <c r="E80" t="s">
        <v>25</v>
      </c>
      <c r="F80" t="s">
        <v>26</v>
      </c>
      <c r="G80">
        <v>8</v>
      </c>
      <c r="H80">
        <v>420</v>
      </c>
    </row>
    <row r="81" spans="1:8">
      <c r="A81">
        <v>10145</v>
      </c>
      <c r="B81" s="1">
        <v>45444</v>
      </c>
      <c r="C81" t="s">
        <v>41</v>
      </c>
      <c r="D81" t="s">
        <v>81</v>
      </c>
      <c r="E81" t="s">
        <v>77</v>
      </c>
      <c r="F81" t="s">
        <v>78</v>
      </c>
      <c r="G81">
        <v>12</v>
      </c>
      <c r="H81">
        <v>1850</v>
      </c>
    </row>
    <row r="82" spans="1:8">
      <c r="A82">
        <v>10141</v>
      </c>
      <c r="B82" s="1">
        <v>45294</v>
      </c>
      <c r="C82" t="s">
        <v>41</v>
      </c>
      <c r="D82" t="s">
        <v>114</v>
      </c>
      <c r="E82" t="s">
        <v>55</v>
      </c>
      <c r="F82" t="s">
        <v>56</v>
      </c>
      <c r="G82">
        <v>1</v>
      </c>
      <c r="H82">
        <v>780</v>
      </c>
    </row>
    <row r="83" spans="1:8">
      <c r="A83">
        <v>10179</v>
      </c>
      <c r="B83" s="1">
        <v>45346</v>
      </c>
      <c r="C83" t="s">
        <v>74</v>
      </c>
      <c r="D83" t="s">
        <v>14</v>
      </c>
      <c r="E83" t="s">
        <v>93</v>
      </c>
      <c r="F83" t="s">
        <v>94</v>
      </c>
      <c r="G83">
        <v>1</v>
      </c>
      <c r="H83">
        <v>1150</v>
      </c>
    </row>
    <row r="84" spans="1:8">
      <c r="A84">
        <v>10295</v>
      </c>
      <c r="B84" s="1">
        <v>45474</v>
      </c>
      <c r="C84" t="s">
        <v>8</v>
      </c>
      <c r="D84" t="s">
        <v>48</v>
      </c>
      <c r="E84" t="s">
        <v>33</v>
      </c>
      <c r="F84" t="s">
        <v>60</v>
      </c>
      <c r="G84">
        <v>1</v>
      </c>
      <c r="H84">
        <v>650</v>
      </c>
    </row>
    <row r="85" spans="1:8">
      <c r="A85">
        <v>10112</v>
      </c>
      <c r="B85" s="1">
        <v>45301</v>
      </c>
      <c r="C85" t="s">
        <v>79</v>
      </c>
      <c r="D85" t="s">
        <v>68</v>
      </c>
      <c r="E85" t="s">
        <v>111</v>
      </c>
      <c r="F85" t="s">
        <v>112</v>
      </c>
      <c r="G85">
        <v>6</v>
      </c>
      <c r="H85">
        <v>950</v>
      </c>
    </row>
    <row r="86" spans="1:8">
      <c r="A86">
        <v>10086</v>
      </c>
      <c r="B86" s="1">
        <v>45302</v>
      </c>
      <c r="C86" t="s">
        <v>35</v>
      </c>
      <c r="D86" t="s">
        <v>115</v>
      </c>
      <c r="E86" t="s">
        <v>33</v>
      </c>
      <c r="F86" t="s">
        <v>116</v>
      </c>
      <c r="G86">
        <v>8</v>
      </c>
      <c r="H86">
        <v>750</v>
      </c>
    </row>
    <row r="87" spans="1:8">
      <c r="A87">
        <v>10040</v>
      </c>
      <c r="B87" t="s">
        <v>117</v>
      </c>
      <c r="C87" t="s">
        <v>15</v>
      </c>
      <c r="D87" t="s">
        <v>9</v>
      </c>
      <c r="E87" t="s">
        <v>38</v>
      </c>
      <c r="F87" t="s">
        <v>118</v>
      </c>
      <c r="G87">
        <v>20</v>
      </c>
      <c r="H87">
        <v>450</v>
      </c>
    </row>
    <row r="88" spans="1:8">
      <c r="A88">
        <v>10054</v>
      </c>
      <c r="B88" s="2">
        <v>45326</v>
      </c>
      <c r="C88" t="s">
        <v>19</v>
      </c>
      <c r="D88" t="s">
        <v>81</v>
      </c>
      <c r="E88" t="s">
        <v>38</v>
      </c>
      <c r="F88" t="s">
        <v>119</v>
      </c>
      <c r="G88">
        <v>2</v>
      </c>
      <c r="H88">
        <v>600</v>
      </c>
    </row>
    <row r="89" spans="1:8">
      <c r="A89">
        <v>10133</v>
      </c>
      <c r="B89" t="s">
        <v>120</v>
      </c>
      <c r="C89" t="s">
        <v>40</v>
      </c>
      <c r="D89" t="s">
        <v>81</v>
      </c>
      <c r="E89" t="s">
        <v>38</v>
      </c>
      <c r="F89" t="s">
        <v>39</v>
      </c>
      <c r="G89">
        <v>20</v>
      </c>
      <c r="H89">
        <v>500</v>
      </c>
    </row>
    <row r="90" spans="1:8">
      <c r="A90">
        <v>10105</v>
      </c>
      <c r="B90" t="s">
        <v>121</v>
      </c>
      <c r="C90" t="s">
        <v>74</v>
      </c>
      <c r="D90" t="s">
        <v>62</v>
      </c>
      <c r="E90" t="s">
        <v>65</v>
      </c>
      <c r="F90" t="s">
        <v>73</v>
      </c>
      <c r="G90">
        <v>10</v>
      </c>
      <c r="H90">
        <v>600</v>
      </c>
    </row>
    <row r="91" spans="1:8">
      <c r="A91">
        <v>10019</v>
      </c>
      <c r="B91" s="1">
        <v>45376</v>
      </c>
      <c r="C91" t="s">
        <v>19</v>
      </c>
      <c r="D91" t="s">
        <v>24</v>
      </c>
      <c r="E91" t="s">
        <v>21</v>
      </c>
      <c r="F91" t="s">
        <v>22</v>
      </c>
      <c r="G91">
        <v>5</v>
      </c>
      <c r="H91">
        <v>2300</v>
      </c>
    </row>
    <row r="92" spans="1:8">
      <c r="A92">
        <v>10136</v>
      </c>
      <c r="B92" t="s">
        <v>61</v>
      </c>
      <c r="C92" t="s">
        <v>15</v>
      </c>
      <c r="D92" t="s">
        <v>122</v>
      </c>
      <c r="E92" t="s">
        <v>90</v>
      </c>
      <c r="F92" t="s">
        <v>96</v>
      </c>
      <c r="G92">
        <v>20</v>
      </c>
      <c r="H92">
        <v>5250</v>
      </c>
    </row>
    <row r="93" spans="1:8">
      <c r="A93">
        <v>10020</v>
      </c>
      <c r="B93" s="1">
        <v>45304</v>
      </c>
      <c r="C93" t="s">
        <v>123</v>
      </c>
      <c r="D93" t="s">
        <v>14</v>
      </c>
      <c r="E93" t="s">
        <v>111</v>
      </c>
      <c r="F93" t="s">
        <v>112</v>
      </c>
      <c r="G93">
        <v>5</v>
      </c>
      <c r="H93">
        <v>900</v>
      </c>
    </row>
    <row r="94" spans="1:8">
      <c r="A94">
        <v>10085</v>
      </c>
      <c r="B94" s="1">
        <v>45359</v>
      </c>
      <c r="C94" t="s">
        <v>15</v>
      </c>
      <c r="D94" t="s">
        <v>48</v>
      </c>
      <c r="E94" t="s">
        <v>65</v>
      </c>
      <c r="F94" t="s">
        <v>124</v>
      </c>
      <c r="G94">
        <v>10</v>
      </c>
      <c r="H94">
        <v>650</v>
      </c>
    </row>
    <row r="95" spans="1:8">
      <c r="A95">
        <v>10073</v>
      </c>
      <c r="B95" s="1">
        <v>45444</v>
      </c>
      <c r="C95" t="s">
        <v>74</v>
      </c>
      <c r="D95" t="s">
        <v>46</v>
      </c>
      <c r="E95" t="s">
        <v>38</v>
      </c>
      <c r="F95" t="s">
        <v>39</v>
      </c>
      <c r="G95">
        <v>2</v>
      </c>
      <c r="H95">
        <v>450</v>
      </c>
    </row>
    <row r="96" spans="1:8">
      <c r="A96">
        <v>10149</v>
      </c>
      <c r="B96" s="1">
        <v>45326</v>
      </c>
      <c r="C96" t="s">
        <v>63</v>
      </c>
      <c r="D96" t="s">
        <v>62</v>
      </c>
      <c r="E96" t="s">
        <v>55</v>
      </c>
      <c r="F96" t="s">
        <v>56</v>
      </c>
      <c r="G96">
        <v>2</v>
      </c>
      <c r="H96">
        <v>780</v>
      </c>
    </row>
    <row r="97" spans="1:8">
      <c r="A97">
        <v>10022</v>
      </c>
      <c r="B97" s="1">
        <v>45353</v>
      </c>
      <c r="C97" t="s">
        <v>79</v>
      </c>
      <c r="D97" t="s">
        <v>80</v>
      </c>
      <c r="E97" t="s">
        <v>93</v>
      </c>
      <c r="F97" t="s">
        <v>125</v>
      </c>
      <c r="G97">
        <v>1</v>
      </c>
      <c r="H97">
        <v>1050</v>
      </c>
    </row>
    <row r="98" spans="1:8">
      <c r="A98">
        <v>10006</v>
      </c>
      <c r="B98" s="1">
        <v>45299</v>
      </c>
      <c r="C98" t="s">
        <v>15</v>
      </c>
      <c r="D98" t="s">
        <v>62</v>
      </c>
      <c r="E98" t="s">
        <v>10</v>
      </c>
      <c r="F98" t="s">
        <v>11</v>
      </c>
      <c r="G98">
        <v>6</v>
      </c>
      <c r="H98">
        <v>1350</v>
      </c>
    </row>
    <row r="99" spans="1:8">
      <c r="A99">
        <v>10314</v>
      </c>
      <c r="B99" s="1">
        <v>45361</v>
      </c>
      <c r="C99" t="s">
        <v>35</v>
      </c>
      <c r="D99" t="s">
        <v>81</v>
      </c>
      <c r="E99" t="s">
        <v>53</v>
      </c>
      <c r="F99" t="s">
        <v>72</v>
      </c>
      <c r="G99">
        <v>12</v>
      </c>
      <c r="H99">
        <v>950</v>
      </c>
    </row>
    <row r="100" spans="1:8">
      <c r="A100">
        <v>10247</v>
      </c>
      <c r="B100" s="1">
        <v>45357</v>
      </c>
      <c r="C100" t="s">
        <v>123</v>
      </c>
      <c r="D100" t="s">
        <v>16</v>
      </c>
      <c r="E100" t="s">
        <v>21</v>
      </c>
      <c r="F100" t="s">
        <v>22</v>
      </c>
      <c r="G100">
        <v>5</v>
      </c>
      <c r="H100">
        <v>2300</v>
      </c>
    </row>
    <row r="101" spans="1:8">
      <c r="A101">
        <v>10325</v>
      </c>
      <c r="B101" s="2">
        <v>45368</v>
      </c>
      <c r="C101" t="s">
        <v>19</v>
      </c>
      <c r="D101" t="s">
        <v>9</v>
      </c>
      <c r="E101" t="s">
        <v>50</v>
      </c>
      <c r="F101" t="s">
        <v>71</v>
      </c>
      <c r="G101">
        <v>12</v>
      </c>
      <c r="H101">
        <v>1450</v>
      </c>
    </row>
    <row r="102" spans="1:8">
      <c r="A102">
        <v>10281</v>
      </c>
      <c r="B102" s="1">
        <v>45352</v>
      </c>
      <c r="C102" t="s">
        <v>29</v>
      </c>
      <c r="D102" t="s">
        <v>68</v>
      </c>
      <c r="E102" t="s">
        <v>25</v>
      </c>
      <c r="F102" t="s">
        <v>26</v>
      </c>
      <c r="G102">
        <v>8</v>
      </c>
      <c r="H102">
        <v>420</v>
      </c>
    </row>
    <row r="103" spans="1:8">
      <c r="A103">
        <v>10283</v>
      </c>
      <c r="B103" s="1">
        <v>45354</v>
      </c>
      <c r="C103" t="s">
        <v>47</v>
      </c>
      <c r="D103" t="s">
        <v>16</v>
      </c>
      <c r="E103" t="s">
        <v>93</v>
      </c>
      <c r="F103" t="s">
        <v>94</v>
      </c>
      <c r="G103">
        <v>6</v>
      </c>
      <c r="H103">
        <v>1100</v>
      </c>
    </row>
    <row r="104" spans="1:8">
      <c r="A104">
        <v>10066</v>
      </c>
      <c r="B104" t="s">
        <v>126</v>
      </c>
      <c r="C104" t="s">
        <v>100</v>
      </c>
      <c r="D104" t="s">
        <v>104</v>
      </c>
      <c r="E104" t="s">
        <v>77</v>
      </c>
      <c r="F104" t="s">
        <v>78</v>
      </c>
      <c r="G104">
        <v>10</v>
      </c>
      <c r="H104">
        <v>1850</v>
      </c>
    </row>
    <row r="105" spans="1:8">
      <c r="A105">
        <v>10120</v>
      </c>
      <c r="B105" s="1">
        <v>45332</v>
      </c>
      <c r="C105" t="s">
        <v>101</v>
      </c>
      <c r="D105" t="s">
        <v>24</v>
      </c>
      <c r="E105" t="s">
        <v>30</v>
      </c>
      <c r="F105" t="s">
        <v>127</v>
      </c>
      <c r="G105">
        <v>6</v>
      </c>
      <c r="H105">
        <v>1750</v>
      </c>
    </row>
    <row r="106" spans="1:8">
      <c r="A106">
        <v>10210</v>
      </c>
      <c r="B106" s="1">
        <v>45359</v>
      </c>
      <c r="C106" t="s">
        <v>35</v>
      </c>
      <c r="D106" t="s">
        <v>14</v>
      </c>
      <c r="E106" t="s">
        <v>53</v>
      </c>
      <c r="F106" t="s">
        <v>72</v>
      </c>
      <c r="G106">
        <v>2</v>
      </c>
      <c r="H106">
        <v>950</v>
      </c>
    </row>
    <row r="107" spans="1:8">
      <c r="A107">
        <v>10207</v>
      </c>
      <c r="B107" s="1">
        <v>45342</v>
      </c>
      <c r="C107" t="s">
        <v>63</v>
      </c>
      <c r="D107" t="s">
        <v>62</v>
      </c>
      <c r="E107" t="s">
        <v>65</v>
      </c>
      <c r="F107" t="s">
        <v>73</v>
      </c>
      <c r="G107">
        <v>20</v>
      </c>
      <c r="H107">
        <v>700</v>
      </c>
    </row>
    <row r="108" spans="1:8">
      <c r="A108">
        <v>10154</v>
      </c>
      <c r="B108" s="1">
        <v>45371</v>
      </c>
      <c r="C108" t="s">
        <v>40</v>
      </c>
      <c r="D108" t="s">
        <v>81</v>
      </c>
      <c r="E108" t="s">
        <v>33</v>
      </c>
      <c r="F108" t="s">
        <v>60</v>
      </c>
      <c r="H108">
        <v>650</v>
      </c>
    </row>
    <row r="109" spans="1:8">
      <c r="A109">
        <v>10277</v>
      </c>
      <c r="B109" t="s">
        <v>128</v>
      </c>
      <c r="C109" t="s">
        <v>40</v>
      </c>
      <c r="D109" t="s">
        <v>16</v>
      </c>
      <c r="E109" t="s">
        <v>93</v>
      </c>
      <c r="F109" t="s">
        <v>94</v>
      </c>
      <c r="G109">
        <v>2</v>
      </c>
      <c r="H109">
        <v>1100</v>
      </c>
    </row>
    <row r="110" spans="1:8">
      <c r="A110">
        <v>10161</v>
      </c>
      <c r="B110" s="1">
        <v>45340</v>
      </c>
      <c r="C110" t="s">
        <v>45</v>
      </c>
      <c r="D110" t="s">
        <v>104</v>
      </c>
      <c r="E110" t="s">
        <v>30</v>
      </c>
      <c r="F110" t="s">
        <v>31</v>
      </c>
      <c r="G110">
        <v>8</v>
      </c>
      <c r="H110">
        <v>1700</v>
      </c>
    </row>
    <row r="111" spans="1:8">
      <c r="A111">
        <v>10262</v>
      </c>
      <c r="B111" s="1">
        <v>45377</v>
      </c>
      <c r="C111" t="s">
        <v>101</v>
      </c>
      <c r="D111" t="s">
        <v>48</v>
      </c>
      <c r="E111" t="s">
        <v>33</v>
      </c>
      <c r="F111" t="s">
        <v>60</v>
      </c>
      <c r="G111">
        <v>-12</v>
      </c>
      <c r="H111">
        <v>700</v>
      </c>
    </row>
    <row r="112" spans="1:8">
      <c r="A112">
        <v>10082</v>
      </c>
      <c r="B112" s="1">
        <v>45307</v>
      </c>
      <c r="C112" t="s">
        <v>41</v>
      </c>
      <c r="D112" t="s">
        <v>24</v>
      </c>
      <c r="E112" t="s">
        <v>55</v>
      </c>
      <c r="F112" t="s">
        <v>56</v>
      </c>
      <c r="G112">
        <v>20</v>
      </c>
      <c r="H112">
        <v>830</v>
      </c>
    </row>
    <row r="113" spans="1:8">
      <c r="A113">
        <v>10206</v>
      </c>
      <c r="B113" s="1">
        <v>45294</v>
      </c>
      <c r="C113" t="s">
        <v>74</v>
      </c>
      <c r="D113" t="s">
        <v>14</v>
      </c>
      <c r="E113" t="s">
        <v>21</v>
      </c>
      <c r="F113" t="s">
        <v>22</v>
      </c>
      <c r="G113">
        <v>20</v>
      </c>
      <c r="H113">
        <v>2350</v>
      </c>
    </row>
    <row r="114" spans="1:8">
      <c r="A114">
        <v>10091</v>
      </c>
      <c r="B114" s="2">
        <v>45310</v>
      </c>
      <c r="C114" t="s">
        <v>35</v>
      </c>
      <c r="D114" t="s">
        <v>14</v>
      </c>
      <c r="E114" t="s">
        <v>53</v>
      </c>
      <c r="F114" t="s">
        <v>72</v>
      </c>
      <c r="G114">
        <v>15</v>
      </c>
      <c r="H114">
        <v>950</v>
      </c>
    </row>
    <row r="115" spans="1:8">
      <c r="A115">
        <v>10015</v>
      </c>
      <c r="B115" s="1">
        <v>45293</v>
      </c>
      <c r="C115" t="s">
        <v>15</v>
      </c>
      <c r="D115" t="s">
        <v>14</v>
      </c>
      <c r="E115" t="s">
        <v>111</v>
      </c>
      <c r="F115" t="s">
        <v>129</v>
      </c>
      <c r="G115">
        <v>10</v>
      </c>
      <c r="H115">
        <v>900</v>
      </c>
    </row>
    <row r="116" spans="1:8">
      <c r="A116">
        <v>10315</v>
      </c>
      <c r="B116" s="1">
        <v>45321</v>
      </c>
      <c r="C116" t="s">
        <v>74</v>
      </c>
      <c r="D116" t="s">
        <v>80</v>
      </c>
      <c r="E116" t="s">
        <v>93</v>
      </c>
      <c r="F116" t="s">
        <v>94</v>
      </c>
      <c r="G116">
        <v>-6</v>
      </c>
      <c r="H116">
        <v>1150</v>
      </c>
    </row>
    <row r="117" spans="1:8">
      <c r="A117">
        <v>10260</v>
      </c>
      <c r="B117" t="s">
        <v>130</v>
      </c>
      <c r="C117" t="s">
        <v>35</v>
      </c>
      <c r="D117" t="s">
        <v>115</v>
      </c>
      <c r="E117" t="s">
        <v>10</v>
      </c>
      <c r="F117" t="s">
        <v>11</v>
      </c>
      <c r="G117">
        <v>3</v>
      </c>
      <c r="H117">
        <v>1300</v>
      </c>
    </row>
    <row r="118" spans="1:8">
      <c r="A118">
        <v>10094</v>
      </c>
      <c r="B118" s="1">
        <v>45333</v>
      </c>
      <c r="C118" t="s">
        <v>19</v>
      </c>
      <c r="D118" t="s">
        <v>81</v>
      </c>
      <c r="E118" t="s">
        <v>111</v>
      </c>
      <c r="F118" t="s">
        <v>112</v>
      </c>
      <c r="G118">
        <v>3</v>
      </c>
      <c r="H118">
        <v>850</v>
      </c>
    </row>
    <row r="119" spans="1:8">
      <c r="A119">
        <v>10282</v>
      </c>
      <c r="B119" s="1">
        <v>45370</v>
      </c>
      <c r="C119" t="s">
        <v>40</v>
      </c>
      <c r="D119" t="s">
        <v>9</v>
      </c>
      <c r="E119" t="s">
        <v>10</v>
      </c>
      <c r="F119" t="s">
        <v>11</v>
      </c>
      <c r="G119">
        <v>12</v>
      </c>
      <c r="H119">
        <v>1300</v>
      </c>
    </row>
    <row r="120" spans="1:8">
      <c r="A120">
        <v>10225</v>
      </c>
      <c r="B120" t="s">
        <v>131</v>
      </c>
      <c r="C120" t="s">
        <v>95</v>
      </c>
      <c r="D120" t="s">
        <v>88</v>
      </c>
      <c r="E120" t="s">
        <v>21</v>
      </c>
      <c r="F120" t="s">
        <v>22</v>
      </c>
      <c r="G120">
        <v>2</v>
      </c>
      <c r="H120">
        <v>2250</v>
      </c>
    </row>
    <row r="121" spans="1:8">
      <c r="A121">
        <v>10292</v>
      </c>
      <c r="B121" t="s">
        <v>132</v>
      </c>
      <c r="C121" t="s">
        <v>74</v>
      </c>
      <c r="D121" t="s">
        <v>133</v>
      </c>
      <c r="E121" t="s">
        <v>90</v>
      </c>
      <c r="F121" t="s">
        <v>91</v>
      </c>
      <c r="G121">
        <v>12</v>
      </c>
      <c r="H121">
        <v>5150</v>
      </c>
    </row>
    <row r="122" spans="1:8">
      <c r="A122">
        <v>10226</v>
      </c>
      <c r="B122" t="s">
        <v>117</v>
      </c>
      <c r="C122" t="s">
        <v>15</v>
      </c>
      <c r="D122" t="s">
        <v>134</v>
      </c>
      <c r="E122" t="s">
        <v>21</v>
      </c>
      <c r="F122" t="s">
        <v>22</v>
      </c>
      <c r="G122">
        <v>2</v>
      </c>
      <c r="H122">
        <v>2400</v>
      </c>
    </row>
    <row r="123" spans="1:8">
      <c r="A123">
        <v>10128</v>
      </c>
      <c r="B123" t="s">
        <v>132</v>
      </c>
      <c r="C123" t="s">
        <v>74</v>
      </c>
      <c r="D123" t="s">
        <v>81</v>
      </c>
      <c r="E123" t="s">
        <v>25</v>
      </c>
      <c r="F123" t="s">
        <v>75</v>
      </c>
      <c r="G123">
        <v>8</v>
      </c>
      <c r="H123">
        <v>420</v>
      </c>
    </row>
    <row r="124" spans="1:8">
      <c r="A124">
        <v>10187</v>
      </c>
      <c r="B124" s="1">
        <v>45301</v>
      </c>
      <c r="C124" t="s">
        <v>15</v>
      </c>
      <c r="D124" t="s">
        <v>135</v>
      </c>
      <c r="E124" t="s">
        <v>50</v>
      </c>
      <c r="F124" t="s">
        <v>69</v>
      </c>
      <c r="G124">
        <v>2</v>
      </c>
      <c r="H124">
        <v>1400</v>
      </c>
    </row>
    <row r="125" spans="1:8">
      <c r="A125">
        <v>10089</v>
      </c>
      <c r="B125" s="1">
        <v>45343</v>
      </c>
      <c r="C125" t="s">
        <v>74</v>
      </c>
      <c r="D125" t="s">
        <v>24</v>
      </c>
      <c r="E125" t="s">
        <v>53</v>
      </c>
      <c r="F125" t="s">
        <v>72</v>
      </c>
      <c r="G125">
        <v>15</v>
      </c>
      <c r="H125">
        <v>1000</v>
      </c>
    </row>
    <row r="126" spans="1:8">
      <c r="A126">
        <v>10208</v>
      </c>
      <c r="B126" s="2">
        <v>45362</v>
      </c>
      <c r="C126" t="s">
        <v>41</v>
      </c>
      <c r="D126" t="s">
        <v>62</v>
      </c>
      <c r="E126" t="s">
        <v>50</v>
      </c>
      <c r="F126" t="s">
        <v>89</v>
      </c>
      <c r="G126">
        <v>5</v>
      </c>
      <c r="H126">
        <v>1500</v>
      </c>
    </row>
    <row r="127" spans="1:8">
      <c r="A127">
        <v>10033</v>
      </c>
      <c r="B127" s="1">
        <v>45298</v>
      </c>
      <c r="C127" t="s">
        <v>19</v>
      </c>
      <c r="D127" t="s">
        <v>14</v>
      </c>
      <c r="E127" t="s">
        <v>21</v>
      </c>
      <c r="F127" t="s">
        <v>22</v>
      </c>
      <c r="G127">
        <v>2</v>
      </c>
      <c r="H127">
        <v>2350</v>
      </c>
    </row>
    <row r="128" spans="1:8">
      <c r="A128">
        <v>10242</v>
      </c>
      <c r="B128" s="1">
        <v>45368</v>
      </c>
      <c r="D128" t="s">
        <v>64</v>
      </c>
      <c r="E128" t="s">
        <v>65</v>
      </c>
      <c r="F128" t="s">
        <v>66</v>
      </c>
      <c r="G128">
        <v>20</v>
      </c>
      <c r="H128">
        <v>650</v>
      </c>
    </row>
    <row r="129" spans="1:8">
      <c r="A129">
        <v>10130</v>
      </c>
      <c r="B129" s="1">
        <v>45363</v>
      </c>
      <c r="C129" t="s">
        <v>35</v>
      </c>
      <c r="D129" t="s">
        <v>14</v>
      </c>
      <c r="E129" t="s">
        <v>93</v>
      </c>
      <c r="F129" t="s">
        <v>94</v>
      </c>
      <c r="G129">
        <v>5</v>
      </c>
      <c r="H129">
        <v>1100</v>
      </c>
    </row>
    <row r="130" spans="1:8">
      <c r="A130">
        <v>10203</v>
      </c>
      <c r="B130" s="2">
        <v>45317</v>
      </c>
      <c r="C130" t="s">
        <v>37</v>
      </c>
      <c r="D130" t="s">
        <v>16</v>
      </c>
      <c r="E130" t="s">
        <v>53</v>
      </c>
      <c r="F130" t="s">
        <v>54</v>
      </c>
      <c r="G130">
        <v>2</v>
      </c>
      <c r="H130">
        <v>950</v>
      </c>
    </row>
    <row r="131" spans="1:8">
      <c r="A131">
        <v>10215</v>
      </c>
      <c r="B131" s="1">
        <v>45331</v>
      </c>
      <c r="C131" t="s">
        <v>40</v>
      </c>
      <c r="D131" t="s">
        <v>136</v>
      </c>
      <c r="E131" t="s">
        <v>53</v>
      </c>
      <c r="F131" t="s">
        <v>72</v>
      </c>
      <c r="G131">
        <v>3</v>
      </c>
      <c r="H131">
        <v>900</v>
      </c>
    </row>
    <row r="132" spans="1:8">
      <c r="A132">
        <v>10192</v>
      </c>
      <c r="B132" s="1">
        <v>45342</v>
      </c>
      <c r="C132" t="s">
        <v>19</v>
      </c>
      <c r="D132" t="s">
        <v>46</v>
      </c>
      <c r="E132" t="s">
        <v>33</v>
      </c>
      <c r="F132" t="s">
        <v>60</v>
      </c>
      <c r="G132">
        <v>12</v>
      </c>
      <c r="H132">
        <v>750</v>
      </c>
    </row>
    <row r="133" spans="1:8">
      <c r="A133">
        <v>10227</v>
      </c>
      <c r="B133" s="1">
        <v>45343</v>
      </c>
      <c r="D133" t="s">
        <v>48</v>
      </c>
      <c r="E133" t="s">
        <v>17</v>
      </c>
      <c r="F133" t="s">
        <v>18</v>
      </c>
      <c r="G133">
        <v>8</v>
      </c>
      <c r="H133">
        <v>550</v>
      </c>
    </row>
    <row r="134" spans="1:8">
      <c r="A134">
        <v>10301</v>
      </c>
      <c r="B134" s="1">
        <v>45332</v>
      </c>
      <c r="C134" t="s">
        <v>41</v>
      </c>
      <c r="D134" t="s">
        <v>64</v>
      </c>
      <c r="E134" t="s">
        <v>111</v>
      </c>
      <c r="F134" t="s">
        <v>112</v>
      </c>
      <c r="G134">
        <v>12</v>
      </c>
      <c r="H134">
        <v>850</v>
      </c>
    </row>
    <row r="135" spans="1:8">
      <c r="A135">
        <v>10083</v>
      </c>
      <c r="B135" t="s">
        <v>107</v>
      </c>
      <c r="C135" t="s">
        <v>35</v>
      </c>
      <c r="D135" t="s">
        <v>24</v>
      </c>
      <c r="E135" t="s">
        <v>50</v>
      </c>
      <c r="F135" t="s">
        <v>71</v>
      </c>
      <c r="G135">
        <v>5</v>
      </c>
      <c r="H135">
        <v>1550</v>
      </c>
    </row>
    <row r="136" spans="1:8">
      <c r="A136">
        <v>10223</v>
      </c>
      <c r="B136" s="1">
        <v>45321</v>
      </c>
      <c r="C136" t="s">
        <v>79</v>
      </c>
      <c r="D136" t="s">
        <v>62</v>
      </c>
      <c r="E136" t="s">
        <v>55</v>
      </c>
      <c r="F136" t="s">
        <v>56</v>
      </c>
      <c r="G136">
        <v>8</v>
      </c>
      <c r="H136">
        <v>880</v>
      </c>
    </row>
    <row r="137" spans="1:8">
      <c r="A137">
        <v>10307</v>
      </c>
      <c r="B137" t="s">
        <v>67</v>
      </c>
      <c r="C137" t="s">
        <v>15</v>
      </c>
      <c r="D137" t="s">
        <v>9</v>
      </c>
      <c r="E137" t="s">
        <v>10</v>
      </c>
      <c r="F137" t="s">
        <v>11</v>
      </c>
      <c r="G137">
        <v>3</v>
      </c>
      <c r="H137">
        <v>1350</v>
      </c>
    </row>
    <row r="138" spans="1:8">
      <c r="A138">
        <v>10271</v>
      </c>
      <c r="B138" t="s">
        <v>137</v>
      </c>
      <c r="C138" t="s">
        <v>15</v>
      </c>
      <c r="D138" t="s">
        <v>48</v>
      </c>
      <c r="E138" t="s">
        <v>55</v>
      </c>
      <c r="F138" t="s">
        <v>56</v>
      </c>
      <c r="G138">
        <v>2</v>
      </c>
      <c r="H138">
        <v>780</v>
      </c>
    </row>
    <row r="139" spans="1:8">
      <c r="A139">
        <v>10047</v>
      </c>
      <c r="B139" t="s">
        <v>138</v>
      </c>
      <c r="C139" t="s">
        <v>37</v>
      </c>
      <c r="D139" t="s">
        <v>139</v>
      </c>
      <c r="E139" t="s">
        <v>30</v>
      </c>
      <c r="F139" t="s">
        <v>31</v>
      </c>
      <c r="G139">
        <v>4</v>
      </c>
      <c r="H139">
        <v>1700</v>
      </c>
    </row>
    <row r="140" spans="1:8">
      <c r="A140">
        <v>10029</v>
      </c>
      <c r="B140" s="1">
        <v>45344</v>
      </c>
      <c r="C140" t="s">
        <v>35</v>
      </c>
      <c r="D140" t="s">
        <v>48</v>
      </c>
      <c r="E140" t="s">
        <v>30</v>
      </c>
      <c r="F140" t="s">
        <v>140</v>
      </c>
      <c r="G140">
        <v>5</v>
      </c>
      <c r="H140">
        <v>1800</v>
      </c>
    </row>
    <row r="141" spans="1:8">
      <c r="A141">
        <v>10220</v>
      </c>
      <c r="B141" s="1">
        <v>45361</v>
      </c>
      <c r="D141" t="s">
        <v>136</v>
      </c>
      <c r="E141" t="s">
        <v>93</v>
      </c>
      <c r="F141" t="s">
        <v>141</v>
      </c>
      <c r="G141">
        <v>4</v>
      </c>
      <c r="H141">
        <v>1050</v>
      </c>
    </row>
    <row r="142" spans="1:8">
      <c r="A142">
        <v>10024</v>
      </c>
      <c r="B142" s="1">
        <v>45344</v>
      </c>
      <c r="C142" t="s">
        <v>19</v>
      </c>
      <c r="D142" t="s">
        <v>9</v>
      </c>
      <c r="E142" t="s">
        <v>21</v>
      </c>
      <c r="F142" t="s">
        <v>22</v>
      </c>
      <c r="G142">
        <v>4</v>
      </c>
      <c r="H142">
        <v>2300</v>
      </c>
    </row>
    <row r="143" spans="1:8">
      <c r="A143">
        <v>10168</v>
      </c>
      <c r="B143" s="1">
        <v>45380</v>
      </c>
      <c r="C143" t="s">
        <v>41</v>
      </c>
      <c r="D143" t="s">
        <v>62</v>
      </c>
      <c r="E143" t="s">
        <v>10</v>
      </c>
      <c r="F143" t="s">
        <v>11</v>
      </c>
      <c r="G143">
        <v>6</v>
      </c>
      <c r="H143">
        <v>1400</v>
      </c>
    </row>
    <row r="144" spans="1:8">
      <c r="A144">
        <v>10333</v>
      </c>
      <c r="B144" s="2">
        <v>45320</v>
      </c>
      <c r="C144" t="s">
        <v>47</v>
      </c>
      <c r="D144" t="s">
        <v>142</v>
      </c>
      <c r="E144" t="s">
        <v>17</v>
      </c>
      <c r="F144" t="s">
        <v>18</v>
      </c>
      <c r="G144">
        <v>5</v>
      </c>
      <c r="H144">
        <v>650</v>
      </c>
    </row>
    <row r="145" spans="1:8">
      <c r="A145">
        <v>10037</v>
      </c>
      <c r="B145" s="1">
        <v>45326</v>
      </c>
      <c r="C145" t="s">
        <v>41</v>
      </c>
      <c r="D145" t="s">
        <v>81</v>
      </c>
      <c r="E145" t="s">
        <v>17</v>
      </c>
      <c r="F145" t="s">
        <v>18</v>
      </c>
      <c r="G145">
        <v>8</v>
      </c>
      <c r="H145">
        <v>550</v>
      </c>
    </row>
    <row r="146" spans="1:8">
      <c r="A146">
        <v>10248</v>
      </c>
      <c r="B146" s="1">
        <v>45306</v>
      </c>
      <c r="C146" t="s">
        <v>74</v>
      </c>
      <c r="D146" t="s">
        <v>62</v>
      </c>
      <c r="E146" t="s">
        <v>17</v>
      </c>
      <c r="F146" t="s">
        <v>18</v>
      </c>
      <c r="G146">
        <v>3</v>
      </c>
      <c r="H146">
        <v>550</v>
      </c>
    </row>
    <row r="147" spans="1:8">
      <c r="A147">
        <v>10014</v>
      </c>
      <c r="B147" t="s">
        <v>143</v>
      </c>
      <c r="C147" t="s">
        <v>15</v>
      </c>
      <c r="D147" t="s">
        <v>134</v>
      </c>
      <c r="E147" t="s">
        <v>50</v>
      </c>
      <c r="F147" t="s">
        <v>69</v>
      </c>
      <c r="G147">
        <v>20</v>
      </c>
      <c r="H147">
        <v>1500</v>
      </c>
    </row>
    <row r="148" spans="1:8">
      <c r="A148">
        <v>10076</v>
      </c>
      <c r="B148" s="2">
        <v>45300</v>
      </c>
      <c r="C148" t="s">
        <v>79</v>
      </c>
      <c r="D148" t="s">
        <v>14</v>
      </c>
      <c r="E148" t="s">
        <v>90</v>
      </c>
      <c r="F148" t="s">
        <v>96</v>
      </c>
      <c r="G148">
        <v>4</v>
      </c>
      <c r="H148">
        <v>5200</v>
      </c>
    </row>
    <row r="149" spans="1:8">
      <c r="A149">
        <v>10109</v>
      </c>
      <c r="B149" s="1">
        <v>45597</v>
      </c>
      <c r="C149" t="s">
        <v>45</v>
      </c>
      <c r="D149" t="s">
        <v>49</v>
      </c>
      <c r="E149" t="s">
        <v>50</v>
      </c>
      <c r="F149" t="s">
        <v>51</v>
      </c>
      <c r="G149">
        <v>8</v>
      </c>
      <c r="H149">
        <v>1550</v>
      </c>
    </row>
    <row r="150" spans="1:8">
      <c r="A150">
        <v>10043</v>
      </c>
      <c r="B150" s="1">
        <v>45345</v>
      </c>
      <c r="C150" t="s">
        <v>41</v>
      </c>
      <c r="D150" t="s">
        <v>16</v>
      </c>
      <c r="E150" t="s">
        <v>65</v>
      </c>
      <c r="F150" t="s">
        <v>73</v>
      </c>
      <c r="G150">
        <v>6</v>
      </c>
      <c r="H150">
        <v>700</v>
      </c>
    </row>
    <row r="151" spans="1:8">
      <c r="A151">
        <v>10331</v>
      </c>
      <c r="B151" t="s">
        <v>131</v>
      </c>
      <c r="C151" t="s">
        <v>41</v>
      </c>
      <c r="D151" t="s">
        <v>24</v>
      </c>
      <c r="E151" t="s">
        <v>21</v>
      </c>
      <c r="F151" t="s">
        <v>22</v>
      </c>
      <c r="G151">
        <v>6</v>
      </c>
      <c r="H151">
        <v>2400</v>
      </c>
    </row>
    <row r="152" spans="1:8">
      <c r="A152">
        <v>10074</v>
      </c>
      <c r="B152" s="1">
        <v>45375</v>
      </c>
      <c r="C152" t="s">
        <v>74</v>
      </c>
      <c r="D152" t="s">
        <v>27</v>
      </c>
      <c r="E152" t="s">
        <v>90</v>
      </c>
      <c r="F152" t="s">
        <v>144</v>
      </c>
      <c r="G152">
        <v>8</v>
      </c>
      <c r="H152">
        <v>5200</v>
      </c>
    </row>
    <row r="153" spans="1:8">
      <c r="A153">
        <v>10293</v>
      </c>
      <c r="B153" s="1">
        <v>45325</v>
      </c>
      <c r="C153" t="s">
        <v>145</v>
      </c>
      <c r="D153" t="s">
        <v>49</v>
      </c>
      <c r="E153" t="s">
        <v>90</v>
      </c>
      <c r="F153" t="s">
        <v>91</v>
      </c>
      <c r="G153">
        <v>6</v>
      </c>
      <c r="H153">
        <v>5300</v>
      </c>
    </row>
    <row r="154" spans="1:8">
      <c r="A154">
        <v>10327</v>
      </c>
      <c r="B154" s="1">
        <v>45358</v>
      </c>
      <c r="C154" t="s">
        <v>29</v>
      </c>
      <c r="D154" t="s">
        <v>134</v>
      </c>
      <c r="E154" t="s">
        <v>17</v>
      </c>
      <c r="F154" t="s">
        <v>18</v>
      </c>
      <c r="G154">
        <v>3</v>
      </c>
      <c r="H154">
        <v>550</v>
      </c>
    </row>
    <row r="155" spans="1:8">
      <c r="A155">
        <v>10332</v>
      </c>
      <c r="B155" s="1">
        <v>45362</v>
      </c>
      <c r="C155" t="s">
        <v>40</v>
      </c>
      <c r="D155" t="s">
        <v>46</v>
      </c>
      <c r="E155" t="s">
        <v>25</v>
      </c>
      <c r="F155" t="s">
        <v>97</v>
      </c>
      <c r="G155">
        <v>10</v>
      </c>
    </row>
    <row r="156" spans="1:8">
      <c r="A156">
        <v>10329</v>
      </c>
      <c r="B156" s="1">
        <v>45299</v>
      </c>
      <c r="C156" t="s">
        <v>19</v>
      </c>
      <c r="D156" t="s">
        <v>114</v>
      </c>
      <c r="E156" t="s">
        <v>111</v>
      </c>
      <c r="F156" t="s">
        <v>112</v>
      </c>
      <c r="G156">
        <v>1</v>
      </c>
      <c r="H156">
        <v>850</v>
      </c>
    </row>
    <row r="157" spans="1:8">
      <c r="A157">
        <v>10244</v>
      </c>
      <c r="B157" s="1">
        <v>45474</v>
      </c>
      <c r="C157" t="s">
        <v>40</v>
      </c>
      <c r="D157" t="s">
        <v>16</v>
      </c>
      <c r="E157" t="s">
        <v>65</v>
      </c>
      <c r="F157" t="s">
        <v>73</v>
      </c>
      <c r="G157">
        <v>10</v>
      </c>
      <c r="H157">
        <v>700</v>
      </c>
    </row>
    <row r="158" spans="1:8">
      <c r="A158">
        <v>10013</v>
      </c>
      <c r="B158" s="1">
        <v>45292</v>
      </c>
      <c r="C158" t="s">
        <v>74</v>
      </c>
      <c r="D158" t="s">
        <v>146</v>
      </c>
      <c r="E158" t="s">
        <v>77</v>
      </c>
      <c r="F158" t="s">
        <v>78</v>
      </c>
      <c r="G158">
        <v>2</v>
      </c>
      <c r="H158">
        <v>1800</v>
      </c>
    </row>
    <row r="159" spans="1:8">
      <c r="A159">
        <v>10250</v>
      </c>
      <c r="B159" s="1">
        <v>45315</v>
      </c>
      <c r="C159" t="s">
        <v>19</v>
      </c>
      <c r="D159" t="s">
        <v>48</v>
      </c>
      <c r="E159" t="s">
        <v>10</v>
      </c>
      <c r="F159" t="s">
        <v>147</v>
      </c>
      <c r="H159">
        <v>1400</v>
      </c>
    </row>
    <row r="160" spans="1:8">
      <c r="A160">
        <v>10258</v>
      </c>
      <c r="B160" s="1">
        <v>45378</v>
      </c>
      <c r="C160" t="s">
        <v>145</v>
      </c>
      <c r="D160" t="s">
        <v>16</v>
      </c>
      <c r="E160" t="s">
        <v>10</v>
      </c>
      <c r="F160" t="s">
        <v>11</v>
      </c>
      <c r="G160">
        <v>10</v>
      </c>
      <c r="H160">
        <v>1350</v>
      </c>
    </row>
    <row r="161" spans="1:8">
      <c r="A161">
        <v>10143</v>
      </c>
      <c r="B161" s="2">
        <v>45307</v>
      </c>
      <c r="C161" t="s">
        <v>15</v>
      </c>
      <c r="D161" t="s">
        <v>48</v>
      </c>
      <c r="E161" t="s">
        <v>111</v>
      </c>
      <c r="F161" t="s">
        <v>112</v>
      </c>
      <c r="G161">
        <v>3</v>
      </c>
      <c r="H161">
        <v>900</v>
      </c>
    </row>
    <row r="162" spans="1:8">
      <c r="A162">
        <v>10166</v>
      </c>
      <c r="B162" t="s">
        <v>148</v>
      </c>
      <c r="C162" t="s">
        <v>41</v>
      </c>
      <c r="D162" t="s">
        <v>46</v>
      </c>
      <c r="E162" t="s">
        <v>55</v>
      </c>
      <c r="F162" t="s">
        <v>56</v>
      </c>
      <c r="G162">
        <v>8</v>
      </c>
      <c r="H162">
        <v>780</v>
      </c>
    </row>
    <row r="163" spans="1:8">
      <c r="A163">
        <v>10321</v>
      </c>
      <c r="B163" s="1">
        <v>45333</v>
      </c>
      <c r="C163" t="s">
        <v>15</v>
      </c>
      <c r="D163" t="s">
        <v>62</v>
      </c>
      <c r="E163" t="s">
        <v>30</v>
      </c>
      <c r="F163" t="s">
        <v>140</v>
      </c>
      <c r="G163">
        <v>12</v>
      </c>
      <c r="H163">
        <v>1800</v>
      </c>
    </row>
    <row r="164" spans="1:8">
      <c r="A164">
        <v>10174</v>
      </c>
      <c r="B164" s="1">
        <v>45377</v>
      </c>
      <c r="C164" t="s">
        <v>63</v>
      </c>
      <c r="D164" t="s">
        <v>24</v>
      </c>
      <c r="E164" t="s">
        <v>90</v>
      </c>
      <c r="F164" t="s">
        <v>144</v>
      </c>
      <c r="G164">
        <v>8</v>
      </c>
      <c r="H164">
        <v>5300</v>
      </c>
    </row>
    <row r="165" spans="1:8">
      <c r="A165">
        <v>10133</v>
      </c>
      <c r="B165" t="s">
        <v>120</v>
      </c>
      <c r="C165" t="s">
        <v>40</v>
      </c>
      <c r="D165" t="s">
        <v>81</v>
      </c>
      <c r="E165" t="s">
        <v>38</v>
      </c>
      <c r="F165" t="s">
        <v>39</v>
      </c>
      <c r="G165">
        <v>20</v>
      </c>
      <c r="H165">
        <v>500</v>
      </c>
    </row>
    <row r="166" spans="1:8">
      <c r="A166">
        <v>10063</v>
      </c>
      <c r="B166" t="s">
        <v>117</v>
      </c>
      <c r="C166" t="s">
        <v>74</v>
      </c>
      <c r="D166" t="s">
        <v>27</v>
      </c>
      <c r="E166" t="s">
        <v>10</v>
      </c>
      <c r="F166" t="s">
        <v>11</v>
      </c>
      <c r="G166">
        <v>5</v>
      </c>
      <c r="H166">
        <v>1300</v>
      </c>
    </row>
    <row r="167" spans="1:8">
      <c r="A167">
        <v>10305</v>
      </c>
      <c r="B167" s="1">
        <v>45332</v>
      </c>
      <c r="C167" t="s">
        <v>40</v>
      </c>
      <c r="D167" t="s">
        <v>149</v>
      </c>
      <c r="E167" t="s">
        <v>17</v>
      </c>
      <c r="F167" t="s">
        <v>18</v>
      </c>
      <c r="G167">
        <v>20</v>
      </c>
      <c r="H167">
        <v>550</v>
      </c>
    </row>
    <row r="168" spans="1:8">
      <c r="A168">
        <v>10286</v>
      </c>
      <c r="B168" t="s">
        <v>150</v>
      </c>
      <c r="D168" t="s">
        <v>49</v>
      </c>
      <c r="E168" t="s">
        <v>10</v>
      </c>
      <c r="F168" t="s">
        <v>11</v>
      </c>
      <c r="G168">
        <v>6</v>
      </c>
      <c r="H168">
        <v>1250</v>
      </c>
    </row>
    <row r="169" spans="1:8">
      <c r="A169">
        <v>10294</v>
      </c>
      <c r="B169" s="2">
        <v>45365</v>
      </c>
      <c r="C169" t="s">
        <v>23</v>
      </c>
      <c r="D169" t="s">
        <v>48</v>
      </c>
      <c r="E169" t="s">
        <v>30</v>
      </c>
      <c r="F169" t="s">
        <v>31</v>
      </c>
      <c r="G169">
        <v>3</v>
      </c>
      <c r="H169">
        <v>1650</v>
      </c>
    </row>
    <row r="170" spans="1:8">
      <c r="A170">
        <v>10243</v>
      </c>
      <c r="B170" s="1">
        <v>45415</v>
      </c>
      <c r="C170" t="s">
        <v>15</v>
      </c>
      <c r="D170" t="s">
        <v>16</v>
      </c>
      <c r="E170" t="s">
        <v>25</v>
      </c>
      <c r="F170" t="s">
        <v>26</v>
      </c>
      <c r="G170">
        <v>20</v>
      </c>
      <c r="H170">
        <v>370</v>
      </c>
    </row>
    <row r="171" spans="1:8">
      <c r="A171">
        <v>10134</v>
      </c>
      <c r="B171" s="1">
        <v>45314</v>
      </c>
      <c r="D171" t="s">
        <v>48</v>
      </c>
      <c r="E171" t="s">
        <v>10</v>
      </c>
      <c r="F171" t="s">
        <v>11</v>
      </c>
      <c r="G171">
        <v>10</v>
      </c>
      <c r="H171">
        <v>1300</v>
      </c>
    </row>
    <row r="172" spans="1:8">
      <c r="A172">
        <v>10308</v>
      </c>
      <c r="B172" s="1">
        <v>45363</v>
      </c>
      <c r="C172" t="s">
        <v>19</v>
      </c>
      <c r="D172" t="s">
        <v>149</v>
      </c>
      <c r="E172" t="s">
        <v>65</v>
      </c>
      <c r="F172" t="s">
        <v>73</v>
      </c>
      <c r="G172">
        <v>2</v>
      </c>
      <c r="H172">
        <v>650</v>
      </c>
    </row>
    <row r="173" spans="1:8">
      <c r="A173">
        <v>10165</v>
      </c>
      <c r="B173" t="s">
        <v>131</v>
      </c>
      <c r="C173" t="s">
        <v>15</v>
      </c>
      <c r="D173" t="s">
        <v>46</v>
      </c>
      <c r="E173" t="s">
        <v>25</v>
      </c>
      <c r="F173" t="s">
        <v>26</v>
      </c>
      <c r="G173">
        <v>15</v>
      </c>
      <c r="H173">
        <v>420</v>
      </c>
    </row>
    <row r="174" spans="1:8">
      <c r="A174">
        <v>10135</v>
      </c>
      <c r="B174" s="1">
        <v>45374</v>
      </c>
      <c r="C174" t="s">
        <v>59</v>
      </c>
      <c r="D174" t="s">
        <v>81</v>
      </c>
      <c r="E174" t="s">
        <v>21</v>
      </c>
      <c r="F174" t="s">
        <v>22</v>
      </c>
      <c r="G174">
        <v>3</v>
      </c>
      <c r="H174">
        <v>2400</v>
      </c>
    </row>
    <row r="175" spans="1:8">
      <c r="A175">
        <v>10138</v>
      </c>
      <c r="B175" t="s">
        <v>151</v>
      </c>
      <c r="C175" t="s">
        <v>35</v>
      </c>
      <c r="D175" t="s">
        <v>139</v>
      </c>
      <c r="E175" t="s">
        <v>33</v>
      </c>
      <c r="F175" t="s">
        <v>60</v>
      </c>
      <c r="G175">
        <v>5</v>
      </c>
      <c r="H175">
        <v>700</v>
      </c>
    </row>
    <row r="176" spans="1:8">
      <c r="A176">
        <v>10231</v>
      </c>
      <c r="B176" s="1">
        <v>45352</v>
      </c>
      <c r="C176" t="s">
        <v>79</v>
      </c>
      <c r="D176" t="s">
        <v>24</v>
      </c>
      <c r="E176" t="s">
        <v>25</v>
      </c>
      <c r="F176" t="s">
        <v>26</v>
      </c>
      <c r="G176">
        <v>3</v>
      </c>
      <c r="H176">
        <v>420</v>
      </c>
    </row>
    <row r="177" spans="1:8">
      <c r="A177">
        <v>10147</v>
      </c>
      <c r="B177" s="1">
        <v>45336</v>
      </c>
      <c r="C177" t="s">
        <v>29</v>
      </c>
      <c r="D177" t="s">
        <v>48</v>
      </c>
      <c r="E177" t="s">
        <v>10</v>
      </c>
      <c r="F177" t="s">
        <v>11</v>
      </c>
      <c r="G177">
        <v>12</v>
      </c>
      <c r="H177">
        <v>1300</v>
      </c>
    </row>
    <row r="178" spans="1:8">
      <c r="A178">
        <v>10233</v>
      </c>
      <c r="B178" s="1">
        <v>45324</v>
      </c>
      <c r="C178" t="s">
        <v>59</v>
      </c>
      <c r="D178" t="s">
        <v>46</v>
      </c>
      <c r="E178" t="s">
        <v>30</v>
      </c>
      <c r="F178" t="s">
        <v>140</v>
      </c>
      <c r="G178">
        <v>20</v>
      </c>
      <c r="H178">
        <v>1700</v>
      </c>
    </row>
    <row r="179" spans="1:8">
      <c r="A179">
        <v>10101</v>
      </c>
      <c r="B179" s="1">
        <v>45326</v>
      </c>
      <c r="C179" t="s">
        <v>41</v>
      </c>
      <c r="D179" t="s">
        <v>122</v>
      </c>
      <c r="E179" t="s">
        <v>55</v>
      </c>
      <c r="F179" t="s">
        <v>56</v>
      </c>
      <c r="G179">
        <v>8</v>
      </c>
      <c r="H179">
        <v>730</v>
      </c>
    </row>
    <row r="180" spans="1:8">
      <c r="A180">
        <v>10287</v>
      </c>
      <c r="B180" s="2">
        <v>45365</v>
      </c>
      <c r="C180" t="s">
        <v>15</v>
      </c>
      <c r="D180" t="s">
        <v>62</v>
      </c>
      <c r="E180" t="s">
        <v>53</v>
      </c>
      <c r="F180" t="s">
        <v>72</v>
      </c>
      <c r="G180">
        <v>5</v>
      </c>
      <c r="H180">
        <v>950</v>
      </c>
    </row>
    <row r="181" spans="1:8">
      <c r="A181">
        <v>10098</v>
      </c>
      <c r="B181" s="1">
        <v>45329</v>
      </c>
      <c r="C181" t="s">
        <v>74</v>
      </c>
      <c r="D181" t="s">
        <v>62</v>
      </c>
      <c r="E181" t="s">
        <v>33</v>
      </c>
      <c r="F181" t="s">
        <v>60</v>
      </c>
      <c r="G181">
        <v>6</v>
      </c>
      <c r="H181">
        <v>800</v>
      </c>
    </row>
    <row r="182" spans="1:8">
      <c r="A182">
        <v>10319</v>
      </c>
      <c r="B182" s="1">
        <v>45355</v>
      </c>
      <c r="C182" t="s">
        <v>95</v>
      </c>
      <c r="D182" t="s">
        <v>81</v>
      </c>
      <c r="E182" t="s">
        <v>30</v>
      </c>
      <c r="F182" t="s">
        <v>31</v>
      </c>
      <c r="G182">
        <v>1</v>
      </c>
      <c r="H182">
        <v>1700</v>
      </c>
    </row>
    <row r="183" spans="1:8">
      <c r="A183">
        <v>10011</v>
      </c>
      <c r="B183" s="2">
        <v>45299</v>
      </c>
      <c r="C183" t="s">
        <v>15</v>
      </c>
      <c r="D183" t="s">
        <v>139</v>
      </c>
      <c r="E183" t="s">
        <v>50</v>
      </c>
      <c r="F183" t="s">
        <v>89</v>
      </c>
      <c r="G183">
        <v>10</v>
      </c>
      <c r="H183">
        <v>1400</v>
      </c>
    </row>
    <row r="184" spans="1:8">
      <c r="A184">
        <v>10274</v>
      </c>
      <c r="B184" s="1">
        <v>45328</v>
      </c>
      <c r="C184" t="s">
        <v>152</v>
      </c>
      <c r="D184" t="s">
        <v>48</v>
      </c>
      <c r="E184" t="s">
        <v>65</v>
      </c>
      <c r="F184" t="s">
        <v>73</v>
      </c>
      <c r="G184">
        <v>20</v>
      </c>
      <c r="H184">
        <v>600</v>
      </c>
    </row>
    <row r="185" spans="1:8">
      <c r="A185">
        <v>10110</v>
      </c>
      <c r="B185" s="1">
        <v>45380</v>
      </c>
      <c r="C185" t="s">
        <v>41</v>
      </c>
      <c r="D185" t="s">
        <v>24</v>
      </c>
      <c r="E185" t="s">
        <v>38</v>
      </c>
      <c r="F185" t="s">
        <v>39</v>
      </c>
      <c r="G185">
        <v>1</v>
      </c>
      <c r="H185">
        <v>500</v>
      </c>
    </row>
    <row r="186" spans="1:8">
      <c r="A186">
        <v>10064</v>
      </c>
      <c r="B186" s="1">
        <v>45568</v>
      </c>
      <c r="C186" t="s">
        <v>74</v>
      </c>
      <c r="D186" t="s">
        <v>153</v>
      </c>
      <c r="E186" t="s">
        <v>77</v>
      </c>
      <c r="F186" t="s">
        <v>154</v>
      </c>
      <c r="G186">
        <v>20</v>
      </c>
      <c r="H186">
        <v>1850</v>
      </c>
    </row>
    <row r="187" spans="1:8">
      <c r="A187">
        <v>10118</v>
      </c>
      <c r="B187" s="2">
        <v>45371</v>
      </c>
      <c r="C187" t="s">
        <v>40</v>
      </c>
      <c r="D187" t="s">
        <v>24</v>
      </c>
      <c r="E187" t="s">
        <v>55</v>
      </c>
      <c r="F187" t="s">
        <v>56</v>
      </c>
      <c r="G187">
        <v>15</v>
      </c>
    </row>
    <row r="188" spans="1:8">
      <c r="A188">
        <v>10084</v>
      </c>
      <c r="B188" t="s">
        <v>155</v>
      </c>
      <c r="C188" t="s">
        <v>15</v>
      </c>
      <c r="D188" t="s">
        <v>46</v>
      </c>
      <c r="E188" t="s">
        <v>30</v>
      </c>
      <c r="F188" t="s">
        <v>127</v>
      </c>
      <c r="G188">
        <v>5</v>
      </c>
      <c r="H188">
        <v>1700</v>
      </c>
    </row>
    <row r="189" spans="1:8">
      <c r="A189">
        <v>10224</v>
      </c>
      <c r="B189" s="1">
        <v>45378</v>
      </c>
      <c r="C189" t="s">
        <v>19</v>
      </c>
      <c r="D189" t="s">
        <v>9</v>
      </c>
      <c r="E189" t="s">
        <v>50</v>
      </c>
      <c r="F189" t="s">
        <v>51</v>
      </c>
      <c r="G189">
        <v>10</v>
      </c>
      <c r="H189">
        <v>1450</v>
      </c>
    </row>
    <row r="190" spans="1:8">
      <c r="A190">
        <v>10252</v>
      </c>
      <c r="B190" s="1">
        <v>45323</v>
      </c>
      <c r="D190" t="s">
        <v>24</v>
      </c>
      <c r="E190" t="s">
        <v>33</v>
      </c>
      <c r="F190" t="s">
        <v>60</v>
      </c>
      <c r="G190">
        <v>20</v>
      </c>
      <c r="H190">
        <v>750</v>
      </c>
    </row>
    <row r="191" spans="1:8">
      <c r="A191">
        <v>10237</v>
      </c>
      <c r="B191" s="1">
        <v>45308</v>
      </c>
      <c r="C191" t="s">
        <v>156</v>
      </c>
      <c r="D191" t="s">
        <v>86</v>
      </c>
      <c r="E191" t="s">
        <v>30</v>
      </c>
      <c r="F191" t="s">
        <v>31</v>
      </c>
      <c r="G191">
        <v>12</v>
      </c>
      <c r="H191">
        <v>1700</v>
      </c>
    </row>
    <row r="192" spans="1:8">
      <c r="A192">
        <v>10113</v>
      </c>
      <c r="B192" t="s">
        <v>157</v>
      </c>
      <c r="C192" t="s">
        <v>19</v>
      </c>
      <c r="D192" t="s">
        <v>86</v>
      </c>
      <c r="E192" t="s">
        <v>30</v>
      </c>
      <c r="F192" t="s">
        <v>31</v>
      </c>
      <c r="G192">
        <v>10</v>
      </c>
      <c r="H192">
        <v>1700</v>
      </c>
    </row>
    <row r="193" spans="1:8">
      <c r="A193">
        <v>10323</v>
      </c>
      <c r="B193" s="2">
        <v>45335</v>
      </c>
      <c r="C193" t="s">
        <v>29</v>
      </c>
      <c r="D193" t="s">
        <v>62</v>
      </c>
      <c r="E193" t="s">
        <v>17</v>
      </c>
      <c r="F193" t="s">
        <v>18</v>
      </c>
      <c r="G193">
        <v>6</v>
      </c>
      <c r="H193">
        <v>550</v>
      </c>
    </row>
    <row r="194" spans="1:8">
      <c r="A194">
        <v>10017</v>
      </c>
      <c r="B194" s="1">
        <v>45346</v>
      </c>
      <c r="C194" t="s">
        <v>45</v>
      </c>
      <c r="D194" t="s">
        <v>81</v>
      </c>
      <c r="E194" t="s">
        <v>53</v>
      </c>
      <c r="F194" t="s">
        <v>72</v>
      </c>
      <c r="G194">
        <v>4</v>
      </c>
      <c r="H194">
        <v>950</v>
      </c>
    </row>
    <row r="195" spans="1:8">
      <c r="A195">
        <v>10053</v>
      </c>
      <c r="B195" s="1">
        <v>45320</v>
      </c>
      <c r="C195" t="s">
        <v>40</v>
      </c>
      <c r="D195" t="s">
        <v>9</v>
      </c>
      <c r="E195" t="s">
        <v>21</v>
      </c>
      <c r="F195" t="s">
        <v>22</v>
      </c>
      <c r="G195">
        <v>5</v>
      </c>
      <c r="H195">
        <v>2300</v>
      </c>
    </row>
    <row r="196" spans="1:8">
      <c r="A196">
        <v>10194</v>
      </c>
      <c r="B196" s="1">
        <v>45299</v>
      </c>
      <c r="C196" t="s">
        <v>35</v>
      </c>
      <c r="D196" t="s">
        <v>9</v>
      </c>
      <c r="E196" t="s">
        <v>50</v>
      </c>
      <c r="F196" t="s">
        <v>51</v>
      </c>
      <c r="G196">
        <v>1</v>
      </c>
      <c r="H196">
        <v>1450</v>
      </c>
    </row>
    <row r="197" spans="1:8">
      <c r="A197">
        <v>10052</v>
      </c>
      <c r="B197" s="1">
        <v>45329</v>
      </c>
      <c r="C197" t="s">
        <v>74</v>
      </c>
      <c r="D197" t="s">
        <v>14</v>
      </c>
      <c r="E197" t="s">
        <v>93</v>
      </c>
      <c r="F197" t="s">
        <v>141</v>
      </c>
      <c r="G197">
        <v>5</v>
      </c>
      <c r="H197">
        <v>1150</v>
      </c>
    </row>
    <row r="198" spans="1:8">
      <c r="A198">
        <v>10172</v>
      </c>
      <c r="B198" s="2">
        <v>45314</v>
      </c>
      <c r="C198" t="s">
        <v>19</v>
      </c>
      <c r="D198" t="s">
        <v>68</v>
      </c>
      <c r="E198" t="s">
        <v>25</v>
      </c>
      <c r="F198" t="s">
        <v>97</v>
      </c>
      <c r="G198">
        <v>12</v>
      </c>
      <c r="H198">
        <v>470</v>
      </c>
    </row>
    <row r="199" spans="1:8">
      <c r="A199">
        <v>10254</v>
      </c>
      <c r="B199" s="2">
        <v>45349</v>
      </c>
      <c r="C199" t="s">
        <v>74</v>
      </c>
      <c r="D199" t="s">
        <v>81</v>
      </c>
      <c r="E199" t="s">
        <v>38</v>
      </c>
      <c r="F199" t="s">
        <v>39</v>
      </c>
      <c r="G199">
        <v>-6</v>
      </c>
      <c r="H199">
        <v>450</v>
      </c>
    </row>
    <row r="200" spans="1:8">
      <c r="A200">
        <v>10057</v>
      </c>
      <c r="B200" t="s">
        <v>158</v>
      </c>
      <c r="C200" t="s">
        <v>74</v>
      </c>
      <c r="D200" t="s">
        <v>81</v>
      </c>
      <c r="E200" t="s">
        <v>65</v>
      </c>
      <c r="F200" t="s">
        <v>73</v>
      </c>
      <c r="G200">
        <v>1</v>
      </c>
      <c r="H200">
        <v>650</v>
      </c>
    </row>
    <row r="201" spans="1:8">
      <c r="A201">
        <v>10276</v>
      </c>
      <c r="B201" t="s">
        <v>76</v>
      </c>
      <c r="C201" t="s">
        <v>15</v>
      </c>
      <c r="D201" t="s">
        <v>9</v>
      </c>
      <c r="E201" t="s">
        <v>77</v>
      </c>
      <c r="F201" t="s">
        <v>78</v>
      </c>
      <c r="G201">
        <v>15</v>
      </c>
      <c r="H201">
        <v>1850</v>
      </c>
    </row>
    <row r="202" spans="1:8">
      <c r="A202">
        <v>10280</v>
      </c>
      <c r="B202" s="1">
        <v>45353</v>
      </c>
      <c r="C202" t="s">
        <v>40</v>
      </c>
      <c r="D202" t="s">
        <v>16</v>
      </c>
      <c r="E202" t="s">
        <v>30</v>
      </c>
      <c r="F202" t="s">
        <v>31</v>
      </c>
      <c r="G202">
        <v>2</v>
      </c>
      <c r="H202">
        <v>1650</v>
      </c>
    </row>
    <row r="203" spans="1:8">
      <c r="A203">
        <v>10004</v>
      </c>
      <c r="B203" t="s">
        <v>159</v>
      </c>
      <c r="C203" t="s">
        <v>35</v>
      </c>
      <c r="D203" t="s">
        <v>52</v>
      </c>
      <c r="E203" t="s">
        <v>30</v>
      </c>
      <c r="F203" t="s">
        <v>31</v>
      </c>
      <c r="G203">
        <v>2</v>
      </c>
      <c r="H203">
        <v>1650</v>
      </c>
    </row>
    <row r="204" spans="1:8">
      <c r="A204">
        <v>10326</v>
      </c>
      <c r="B204" t="s">
        <v>159</v>
      </c>
      <c r="C204" t="s">
        <v>15</v>
      </c>
      <c r="D204" t="s">
        <v>85</v>
      </c>
      <c r="E204" t="s">
        <v>30</v>
      </c>
      <c r="F204" t="s">
        <v>127</v>
      </c>
      <c r="G204">
        <v>2</v>
      </c>
      <c r="H204">
        <v>1800</v>
      </c>
    </row>
    <row r="205" spans="1:8">
      <c r="A205">
        <v>10105</v>
      </c>
      <c r="B205" t="s">
        <v>121</v>
      </c>
      <c r="C205" t="s">
        <v>74</v>
      </c>
      <c r="D205" t="s">
        <v>62</v>
      </c>
      <c r="E205" t="s">
        <v>65</v>
      </c>
      <c r="F205" t="s">
        <v>73</v>
      </c>
      <c r="G205">
        <v>10</v>
      </c>
      <c r="H205">
        <v>600</v>
      </c>
    </row>
    <row r="206" spans="1:8">
      <c r="A206">
        <v>10009</v>
      </c>
      <c r="B206" s="1">
        <v>45360</v>
      </c>
      <c r="C206" t="s">
        <v>35</v>
      </c>
      <c r="D206" t="s">
        <v>24</v>
      </c>
      <c r="E206" t="s">
        <v>50</v>
      </c>
      <c r="F206" t="s">
        <v>69</v>
      </c>
      <c r="G206">
        <v>5</v>
      </c>
    </row>
    <row r="207" spans="1:8">
      <c r="A207">
        <v>10058</v>
      </c>
      <c r="B207" s="1">
        <v>45307</v>
      </c>
      <c r="C207" t="s">
        <v>74</v>
      </c>
      <c r="D207" t="s">
        <v>14</v>
      </c>
      <c r="E207" t="s">
        <v>30</v>
      </c>
      <c r="F207" t="s">
        <v>31</v>
      </c>
      <c r="G207">
        <v>3</v>
      </c>
      <c r="H207">
        <v>1700</v>
      </c>
    </row>
    <row r="208" spans="1:8">
      <c r="A208">
        <v>10050</v>
      </c>
      <c r="B208" s="1">
        <v>45311</v>
      </c>
      <c r="C208" t="s">
        <v>19</v>
      </c>
      <c r="D208" t="s">
        <v>114</v>
      </c>
      <c r="E208" t="s">
        <v>50</v>
      </c>
      <c r="F208" t="s">
        <v>89</v>
      </c>
      <c r="G208">
        <v>4</v>
      </c>
      <c r="H208">
        <v>1400</v>
      </c>
    </row>
    <row r="209" spans="1:8">
      <c r="A209">
        <v>10042</v>
      </c>
      <c r="B209" t="s">
        <v>107</v>
      </c>
      <c r="C209" t="s">
        <v>29</v>
      </c>
      <c r="D209" t="s">
        <v>136</v>
      </c>
      <c r="E209" t="s">
        <v>55</v>
      </c>
      <c r="F209" t="s">
        <v>160</v>
      </c>
      <c r="G209">
        <v>20</v>
      </c>
      <c r="H209">
        <v>880</v>
      </c>
    </row>
    <row r="210" spans="1:8">
      <c r="A210">
        <v>10036</v>
      </c>
      <c r="B210" s="2">
        <v>45366</v>
      </c>
      <c r="C210" t="s">
        <v>101</v>
      </c>
      <c r="D210" t="s">
        <v>62</v>
      </c>
      <c r="E210" t="s">
        <v>55</v>
      </c>
      <c r="F210" t="s">
        <v>56</v>
      </c>
      <c r="G210">
        <v>15</v>
      </c>
      <c r="H210">
        <v>830</v>
      </c>
    </row>
    <row r="211" spans="1:8">
      <c r="A211">
        <v>10122</v>
      </c>
      <c r="B211" s="1">
        <v>45342</v>
      </c>
      <c r="C211" t="s">
        <v>19</v>
      </c>
      <c r="D211" t="s">
        <v>81</v>
      </c>
      <c r="E211" t="s">
        <v>77</v>
      </c>
      <c r="F211" t="s">
        <v>78</v>
      </c>
      <c r="G211">
        <v>4</v>
      </c>
      <c r="H211">
        <v>1950</v>
      </c>
    </row>
    <row r="212" spans="1:8">
      <c r="A212">
        <v>10126</v>
      </c>
      <c r="B212" s="1">
        <v>45446</v>
      </c>
      <c r="C212" t="s">
        <v>59</v>
      </c>
      <c r="D212" t="s">
        <v>81</v>
      </c>
      <c r="E212" t="s">
        <v>30</v>
      </c>
      <c r="F212" t="s">
        <v>140</v>
      </c>
      <c r="G212">
        <v>15</v>
      </c>
    </row>
    <row r="213" spans="1:8">
      <c r="A213">
        <v>10100</v>
      </c>
      <c r="B213" s="2">
        <v>45340</v>
      </c>
      <c r="C213" t="s">
        <v>19</v>
      </c>
      <c r="D213" t="s">
        <v>49</v>
      </c>
      <c r="E213" t="s">
        <v>53</v>
      </c>
      <c r="F213" t="s">
        <v>72</v>
      </c>
      <c r="G213">
        <v>4</v>
      </c>
      <c r="H213">
        <v>1050</v>
      </c>
    </row>
    <row r="214" spans="1:8">
      <c r="A214">
        <v>10241</v>
      </c>
      <c r="B214" s="1">
        <v>45359</v>
      </c>
      <c r="C214" t="s">
        <v>106</v>
      </c>
      <c r="D214" t="s">
        <v>62</v>
      </c>
      <c r="E214" t="s">
        <v>33</v>
      </c>
      <c r="F214" t="s">
        <v>60</v>
      </c>
      <c r="G214">
        <v>1</v>
      </c>
      <c r="H214">
        <v>700</v>
      </c>
    </row>
    <row r="215" spans="1:8">
      <c r="A215">
        <v>10322</v>
      </c>
      <c r="B215" s="1">
        <v>45327</v>
      </c>
      <c r="C215" t="s">
        <v>19</v>
      </c>
      <c r="D215" t="s">
        <v>16</v>
      </c>
      <c r="E215" t="s">
        <v>65</v>
      </c>
      <c r="F215" t="s">
        <v>73</v>
      </c>
      <c r="G215">
        <v>4</v>
      </c>
      <c r="H215">
        <v>600</v>
      </c>
    </row>
    <row r="216" spans="1:8">
      <c r="A216">
        <v>10167</v>
      </c>
      <c r="B216" s="1">
        <v>45348</v>
      </c>
      <c r="C216" t="s">
        <v>95</v>
      </c>
      <c r="D216" t="s">
        <v>139</v>
      </c>
      <c r="E216" t="s">
        <v>55</v>
      </c>
      <c r="F216" t="s">
        <v>56</v>
      </c>
      <c r="G216">
        <v>8</v>
      </c>
      <c r="H216">
        <v>830</v>
      </c>
    </row>
    <row r="217" spans="1:8">
      <c r="A217">
        <v>10183</v>
      </c>
      <c r="B217" s="1">
        <v>45366</v>
      </c>
      <c r="C217" t="s">
        <v>74</v>
      </c>
      <c r="D217" t="s">
        <v>16</v>
      </c>
      <c r="E217" t="s">
        <v>30</v>
      </c>
      <c r="F217" t="s">
        <v>31</v>
      </c>
      <c r="G217">
        <v>10</v>
      </c>
      <c r="H217">
        <v>1700</v>
      </c>
    </row>
    <row r="218" spans="1:8">
      <c r="A218">
        <v>10303</v>
      </c>
      <c r="B218" s="1">
        <v>45376</v>
      </c>
      <c r="C218" t="s">
        <v>41</v>
      </c>
      <c r="D218" t="s">
        <v>62</v>
      </c>
      <c r="E218" t="s">
        <v>10</v>
      </c>
      <c r="F218" t="s">
        <v>11</v>
      </c>
      <c r="G218">
        <v>12</v>
      </c>
      <c r="H218">
        <v>1250</v>
      </c>
    </row>
    <row r="219" spans="1:8">
      <c r="A219">
        <v>10304</v>
      </c>
      <c r="B219" s="1">
        <v>45357</v>
      </c>
      <c r="C219" t="s">
        <v>35</v>
      </c>
      <c r="D219" t="s">
        <v>135</v>
      </c>
      <c r="E219" t="s">
        <v>77</v>
      </c>
      <c r="F219" t="s">
        <v>78</v>
      </c>
      <c r="G219">
        <v>15</v>
      </c>
      <c r="H219">
        <v>1850</v>
      </c>
    </row>
    <row r="220" spans="1:8">
      <c r="A220">
        <v>10217</v>
      </c>
      <c r="B220" s="1">
        <v>45300</v>
      </c>
      <c r="C220" t="s">
        <v>95</v>
      </c>
      <c r="D220" t="s">
        <v>136</v>
      </c>
      <c r="E220" t="s">
        <v>10</v>
      </c>
      <c r="F220" t="s">
        <v>11</v>
      </c>
      <c r="G220">
        <v>2</v>
      </c>
      <c r="H220">
        <v>1250</v>
      </c>
    </row>
    <row r="221" spans="1:8">
      <c r="A221">
        <v>10129</v>
      </c>
      <c r="B221" t="s">
        <v>87</v>
      </c>
      <c r="C221" t="s">
        <v>19</v>
      </c>
      <c r="D221" t="s">
        <v>42</v>
      </c>
      <c r="E221" t="s">
        <v>111</v>
      </c>
      <c r="F221" t="s">
        <v>112</v>
      </c>
      <c r="G221">
        <v>6</v>
      </c>
      <c r="H221">
        <v>950</v>
      </c>
    </row>
    <row r="222" spans="1:8">
      <c r="A222">
        <v>10265</v>
      </c>
      <c r="B222" s="1">
        <v>45348</v>
      </c>
      <c r="C222" t="s">
        <v>47</v>
      </c>
      <c r="D222" t="s">
        <v>24</v>
      </c>
      <c r="E222" t="s">
        <v>10</v>
      </c>
      <c r="F222" t="s">
        <v>11</v>
      </c>
      <c r="G222">
        <v>15</v>
      </c>
      <c r="H222">
        <v>1400</v>
      </c>
    </row>
    <row r="223" spans="1:8">
      <c r="A223">
        <v>10123</v>
      </c>
      <c r="B223" s="2">
        <v>45325</v>
      </c>
      <c r="C223" t="s">
        <v>45</v>
      </c>
      <c r="D223" t="s">
        <v>24</v>
      </c>
      <c r="E223" t="s">
        <v>10</v>
      </c>
      <c r="F223" t="s">
        <v>11</v>
      </c>
      <c r="G223">
        <v>8</v>
      </c>
      <c r="H223">
        <v>1300</v>
      </c>
    </row>
    <row r="224" spans="1:8">
      <c r="A224">
        <v>10245</v>
      </c>
      <c r="B224" t="s">
        <v>161</v>
      </c>
      <c r="C224" t="s">
        <v>41</v>
      </c>
      <c r="D224" t="s">
        <v>16</v>
      </c>
      <c r="E224" t="s">
        <v>111</v>
      </c>
      <c r="F224" t="s">
        <v>112</v>
      </c>
      <c r="G224">
        <v>15</v>
      </c>
      <c r="H224">
        <v>850</v>
      </c>
    </row>
    <row r="225" spans="1:8">
      <c r="A225">
        <v>10177</v>
      </c>
      <c r="B225" s="1">
        <v>45363</v>
      </c>
      <c r="C225" t="s">
        <v>19</v>
      </c>
      <c r="D225" t="s">
        <v>81</v>
      </c>
      <c r="E225" t="s">
        <v>65</v>
      </c>
      <c r="F225" t="s">
        <v>73</v>
      </c>
      <c r="G225">
        <v>20</v>
      </c>
      <c r="H225">
        <v>700</v>
      </c>
    </row>
    <row r="226" spans="1:8">
      <c r="A226">
        <v>10316</v>
      </c>
      <c r="B226" s="2">
        <v>45353</v>
      </c>
      <c r="C226" t="s">
        <v>162</v>
      </c>
      <c r="D226" t="s">
        <v>133</v>
      </c>
      <c r="E226" t="s">
        <v>10</v>
      </c>
      <c r="F226" t="s">
        <v>147</v>
      </c>
      <c r="G226">
        <v>8</v>
      </c>
      <c r="H226">
        <v>1300</v>
      </c>
    </row>
    <row r="227" spans="1:8">
      <c r="A227">
        <v>10092</v>
      </c>
      <c r="B227" s="1">
        <v>45364</v>
      </c>
      <c r="C227" t="s">
        <v>45</v>
      </c>
      <c r="D227" t="s">
        <v>24</v>
      </c>
      <c r="E227" t="s">
        <v>55</v>
      </c>
      <c r="F227" t="s">
        <v>163</v>
      </c>
      <c r="G227">
        <v>20</v>
      </c>
      <c r="H227">
        <v>780</v>
      </c>
    </row>
    <row r="228" spans="1:8">
      <c r="A228">
        <v>10253</v>
      </c>
      <c r="B228" s="1">
        <v>45313</v>
      </c>
      <c r="C228" t="s">
        <v>74</v>
      </c>
      <c r="D228" t="s">
        <v>80</v>
      </c>
      <c r="E228" t="s">
        <v>25</v>
      </c>
      <c r="F228" t="s">
        <v>75</v>
      </c>
      <c r="G228">
        <v>4</v>
      </c>
      <c r="H228">
        <v>420</v>
      </c>
    </row>
    <row r="229" spans="1:8">
      <c r="A229">
        <v>10176</v>
      </c>
      <c r="B229" s="1">
        <v>45373</v>
      </c>
      <c r="C229" t="s">
        <v>19</v>
      </c>
      <c r="D229" t="s">
        <v>9</v>
      </c>
      <c r="E229" t="s">
        <v>111</v>
      </c>
      <c r="F229" t="s">
        <v>112</v>
      </c>
      <c r="G229">
        <v>3</v>
      </c>
      <c r="H229">
        <v>950</v>
      </c>
    </row>
    <row r="230" spans="1:8">
      <c r="A230">
        <v>10279</v>
      </c>
      <c r="B230" s="2">
        <v>45338</v>
      </c>
      <c r="C230" t="s">
        <v>15</v>
      </c>
      <c r="D230" t="s">
        <v>24</v>
      </c>
      <c r="E230" t="s">
        <v>21</v>
      </c>
      <c r="F230" t="s">
        <v>22</v>
      </c>
      <c r="G230">
        <v>10</v>
      </c>
      <c r="H230">
        <v>2350</v>
      </c>
    </row>
    <row r="231" spans="1:8">
      <c r="A231">
        <v>10232</v>
      </c>
      <c r="B231" t="s">
        <v>164</v>
      </c>
      <c r="C231" t="s">
        <v>15</v>
      </c>
      <c r="D231" t="s">
        <v>43</v>
      </c>
      <c r="E231" t="s">
        <v>93</v>
      </c>
      <c r="F231" t="s">
        <v>141</v>
      </c>
      <c r="G231">
        <v>20</v>
      </c>
      <c r="H231">
        <v>1150</v>
      </c>
    </row>
    <row r="232" spans="1:8">
      <c r="A232">
        <v>10153</v>
      </c>
      <c r="B232" s="1">
        <v>45361</v>
      </c>
      <c r="C232" t="s">
        <v>40</v>
      </c>
      <c r="D232" t="s">
        <v>62</v>
      </c>
      <c r="E232" t="s">
        <v>111</v>
      </c>
      <c r="F232" t="s">
        <v>112</v>
      </c>
      <c r="G232">
        <v>1</v>
      </c>
      <c r="H232">
        <v>850</v>
      </c>
    </row>
    <row r="233" spans="1:8">
      <c r="A233">
        <v>10060</v>
      </c>
      <c r="B233" s="1">
        <v>45345</v>
      </c>
      <c r="C233" t="s">
        <v>35</v>
      </c>
      <c r="D233" t="s">
        <v>46</v>
      </c>
      <c r="E233" t="s">
        <v>55</v>
      </c>
      <c r="F233" t="s">
        <v>56</v>
      </c>
      <c r="G233">
        <v>1</v>
      </c>
      <c r="H233">
        <v>780</v>
      </c>
    </row>
    <row r="234" spans="1:8">
      <c r="A234">
        <v>10238</v>
      </c>
      <c r="B234" s="1">
        <v>45307</v>
      </c>
      <c r="C234" t="s">
        <v>41</v>
      </c>
      <c r="D234" t="s">
        <v>149</v>
      </c>
      <c r="E234" t="s">
        <v>55</v>
      </c>
      <c r="F234" t="s">
        <v>56</v>
      </c>
      <c r="G234">
        <v>20</v>
      </c>
      <c r="H234">
        <v>880</v>
      </c>
    </row>
    <row r="235" spans="1:8">
      <c r="A235">
        <v>10170</v>
      </c>
      <c r="B235" s="1">
        <v>45336</v>
      </c>
      <c r="C235" t="s">
        <v>74</v>
      </c>
      <c r="D235" t="s">
        <v>84</v>
      </c>
      <c r="E235" t="s">
        <v>50</v>
      </c>
      <c r="F235" t="s">
        <v>71</v>
      </c>
      <c r="G235">
        <v>5</v>
      </c>
      <c r="H235">
        <v>1500</v>
      </c>
    </row>
    <row r="236" spans="1:8">
      <c r="A236">
        <v>10256</v>
      </c>
      <c r="B236" s="1">
        <v>45349</v>
      </c>
      <c r="C236" t="s">
        <v>74</v>
      </c>
      <c r="D236" t="s">
        <v>16</v>
      </c>
      <c r="E236" t="s">
        <v>10</v>
      </c>
      <c r="F236" t="s">
        <v>11</v>
      </c>
      <c r="H236">
        <v>1300</v>
      </c>
    </row>
    <row r="237" spans="1:8">
      <c r="A237">
        <v>10069</v>
      </c>
      <c r="B237" s="1">
        <v>45309</v>
      </c>
      <c r="C237" t="s">
        <v>40</v>
      </c>
      <c r="D237" t="s">
        <v>134</v>
      </c>
      <c r="E237" t="s">
        <v>21</v>
      </c>
      <c r="F237" t="s">
        <v>22</v>
      </c>
      <c r="G237">
        <v>20</v>
      </c>
      <c r="H237">
        <v>2250</v>
      </c>
    </row>
    <row r="238" spans="1:8">
      <c r="A238">
        <v>10158</v>
      </c>
      <c r="B238" s="1">
        <v>45318</v>
      </c>
      <c r="C238" t="s">
        <v>19</v>
      </c>
      <c r="D238" t="s">
        <v>9</v>
      </c>
      <c r="E238" t="s">
        <v>10</v>
      </c>
      <c r="F238" t="s">
        <v>11</v>
      </c>
      <c r="G238">
        <v>8</v>
      </c>
      <c r="H238">
        <v>1250</v>
      </c>
    </row>
    <row r="239" spans="1:8">
      <c r="A239">
        <v>10313</v>
      </c>
      <c r="B239" s="2">
        <v>45371</v>
      </c>
      <c r="C239" t="s">
        <v>106</v>
      </c>
      <c r="D239" t="s">
        <v>20</v>
      </c>
      <c r="E239" t="s">
        <v>33</v>
      </c>
      <c r="F239" t="s">
        <v>60</v>
      </c>
      <c r="G239">
        <v>8</v>
      </c>
      <c r="H239">
        <v>700</v>
      </c>
    </row>
    <row r="240" spans="1:8">
      <c r="A240">
        <v>10318</v>
      </c>
      <c r="B240" s="1">
        <v>45333</v>
      </c>
      <c r="C240" t="s">
        <v>74</v>
      </c>
      <c r="D240" t="s">
        <v>36</v>
      </c>
      <c r="E240" t="s">
        <v>17</v>
      </c>
      <c r="F240" t="s">
        <v>18</v>
      </c>
      <c r="G240">
        <v>12</v>
      </c>
      <c r="H240">
        <v>500</v>
      </c>
    </row>
    <row r="241" spans="1:8">
      <c r="A241">
        <v>10007</v>
      </c>
      <c r="B241" s="1">
        <v>45325</v>
      </c>
      <c r="C241" t="s">
        <v>37</v>
      </c>
      <c r="D241" t="s">
        <v>52</v>
      </c>
      <c r="E241" t="s">
        <v>30</v>
      </c>
      <c r="F241" t="s">
        <v>127</v>
      </c>
      <c r="G241">
        <v>12</v>
      </c>
      <c r="H241">
        <v>1800</v>
      </c>
    </row>
    <row r="242" spans="1:8">
      <c r="A242">
        <v>10048</v>
      </c>
      <c r="B242" s="1">
        <v>45304</v>
      </c>
      <c r="C242" t="s">
        <v>15</v>
      </c>
      <c r="D242" t="s">
        <v>46</v>
      </c>
      <c r="E242" t="s">
        <v>77</v>
      </c>
      <c r="F242" t="s">
        <v>78</v>
      </c>
      <c r="G242">
        <v>6</v>
      </c>
      <c r="H242">
        <v>1850</v>
      </c>
    </row>
    <row r="243" spans="1:8">
      <c r="A243">
        <v>10034</v>
      </c>
      <c r="B243" s="1">
        <v>45346</v>
      </c>
      <c r="C243" t="s">
        <v>145</v>
      </c>
      <c r="D243" t="s">
        <v>80</v>
      </c>
      <c r="E243" t="s">
        <v>21</v>
      </c>
      <c r="F243" t="s">
        <v>22</v>
      </c>
      <c r="G243">
        <v>3</v>
      </c>
      <c r="H243">
        <v>2350</v>
      </c>
    </row>
    <row r="244" spans="1:8">
      <c r="A244">
        <v>10319</v>
      </c>
      <c r="B244" s="1">
        <v>45355</v>
      </c>
      <c r="C244" t="s">
        <v>95</v>
      </c>
      <c r="D244" t="s">
        <v>81</v>
      </c>
      <c r="E244" t="s">
        <v>30</v>
      </c>
      <c r="F244" t="s">
        <v>31</v>
      </c>
      <c r="G244">
        <v>1</v>
      </c>
      <c r="H244">
        <v>1700</v>
      </c>
    </row>
    <row r="245" spans="1:8">
      <c r="A245">
        <v>10049</v>
      </c>
      <c r="B245" s="1">
        <v>45293</v>
      </c>
      <c r="C245" t="s">
        <v>19</v>
      </c>
      <c r="D245" t="s">
        <v>114</v>
      </c>
      <c r="E245" t="s">
        <v>38</v>
      </c>
      <c r="F245" t="s">
        <v>119</v>
      </c>
      <c r="G245">
        <v>10</v>
      </c>
      <c r="H245">
        <v>550</v>
      </c>
    </row>
    <row r="246" spans="1:8">
      <c r="A246">
        <v>10200</v>
      </c>
      <c r="B246" t="s">
        <v>120</v>
      </c>
      <c r="C246" t="s">
        <v>74</v>
      </c>
      <c r="D246" t="s">
        <v>102</v>
      </c>
      <c r="E246" t="s">
        <v>111</v>
      </c>
      <c r="F246" t="s">
        <v>112</v>
      </c>
      <c r="G246">
        <v>6</v>
      </c>
    </row>
    <row r="247" spans="1:8">
      <c r="A247">
        <v>10039</v>
      </c>
      <c r="B247" t="s">
        <v>138</v>
      </c>
      <c r="C247" t="s">
        <v>74</v>
      </c>
      <c r="D247" t="s">
        <v>81</v>
      </c>
      <c r="E247" t="s">
        <v>17</v>
      </c>
      <c r="F247" t="s">
        <v>44</v>
      </c>
      <c r="G247">
        <v>12</v>
      </c>
      <c r="H247">
        <v>500</v>
      </c>
    </row>
    <row r="248" spans="1:8">
      <c r="A248">
        <v>10324</v>
      </c>
      <c r="B248" s="1">
        <v>45380</v>
      </c>
      <c r="C248" t="s">
        <v>41</v>
      </c>
      <c r="D248" t="s">
        <v>24</v>
      </c>
      <c r="E248" t="s">
        <v>30</v>
      </c>
      <c r="F248" t="s">
        <v>31</v>
      </c>
      <c r="G248">
        <v>3</v>
      </c>
      <c r="H248">
        <v>1700</v>
      </c>
    </row>
    <row r="249" spans="1:8">
      <c r="A249">
        <v>10190</v>
      </c>
      <c r="B249" s="1">
        <v>45506</v>
      </c>
      <c r="C249" t="s">
        <v>47</v>
      </c>
      <c r="D249" t="s">
        <v>14</v>
      </c>
      <c r="E249" t="s">
        <v>30</v>
      </c>
      <c r="F249" t="s">
        <v>31</v>
      </c>
      <c r="G249">
        <v>8</v>
      </c>
      <c r="H249">
        <v>1700</v>
      </c>
    </row>
    <row r="250" spans="1:8">
      <c r="A250">
        <v>10057</v>
      </c>
      <c r="B250" t="s">
        <v>158</v>
      </c>
      <c r="C250" t="s">
        <v>74</v>
      </c>
      <c r="D250" t="s">
        <v>81</v>
      </c>
      <c r="E250" t="s">
        <v>65</v>
      </c>
      <c r="F250" t="s">
        <v>73</v>
      </c>
      <c r="G250">
        <v>1</v>
      </c>
      <c r="H250">
        <v>650</v>
      </c>
    </row>
    <row r="251" spans="1:8">
      <c r="A251">
        <v>10259</v>
      </c>
      <c r="B251" t="s">
        <v>165</v>
      </c>
      <c r="C251" t="s">
        <v>40</v>
      </c>
      <c r="D251" t="s">
        <v>9</v>
      </c>
      <c r="E251" t="s">
        <v>30</v>
      </c>
      <c r="F251" t="s">
        <v>31</v>
      </c>
      <c r="G251">
        <v>3</v>
      </c>
      <c r="H251">
        <v>1650</v>
      </c>
    </row>
    <row r="252" spans="1:8">
      <c r="A252">
        <v>10229</v>
      </c>
      <c r="B252" s="2">
        <v>45354</v>
      </c>
      <c r="C252" t="s">
        <v>145</v>
      </c>
      <c r="D252" t="s">
        <v>64</v>
      </c>
      <c r="E252" t="s">
        <v>55</v>
      </c>
      <c r="F252" t="s">
        <v>163</v>
      </c>
      <c r="G252">
        <v>1</v>
      </c>
      <c r="H252">
        <v>880</v>
      </c>
    </row>
    <row r="253" spans="1:8">
      <c r="A253">
        <v>10302</v>
      </c>
      <c r="B253" s="1">
        <v>45326</v>
      </c>
      <c r="C253" t="s">
        <v>37</v>
      </c>
      <c r="D253" t="s">
        <v>14</v>
      </c>
      <c r="E253" t="s">
        <v>38</v>
      </c>
      <c r="F253" t="s">
        <v>118</v>
      </c>
      <c r="G253">
        <v>4</v>
      </c>
      <c r="H253">
        <v>500</v>
      </c>
    </row>
    <row r="254" spans="1:8">
      <c r="A254">
        <v>10240</v>
      </c>
      <c r="B254" t="s">
        <v>166</v>
      </c>
      <c r="C254" t="s">
        <v>15</v>
      </c>
      <c r="D254" t="s">
        <v>36</v>
      </c>
      <c r="E254" t="s">
        <v>38</v>
      </c>
      <c r="F254" t="s">
        <v>39</v>
      </c>
      <c r="G254">
        <v>2</v>
      </c>
      <c r="H254">
        <v>500</v>
      </c>
    </row>
    <row r="255" spans="1:8">
      <c r="A255">
        <v>10191</v>
      </c>
      <c r="B255" s="1">
        <v>45338</v>
      </c>
      <c r="C255" t="s">
        <v>35</v>
      </c>
      <c r="D255" t="s">
        <v>9</v>
      </c>
      <c r="E255" t="s">
        <v>65</v>
      </c>
      <c r="F255" t="s">
        <v>73</v>
      </c>
      <c r="G255">
        <v>15</v>
      </c>
      <c r="H255">
        <v>700</v>
      </c>
    </row>
    <row r="256" spans="1:8">
      <c r="A256">
        <v>10114</v>
      </c>
      <c r="B256" s="1">
        <v>45329</v>
      </c>
      <c r="C256" t="s">
        <v>23</v>
      </c>
      <c r="D256" t="s">
        <v>9</v>
      </c>
      <c r="E256" t="s">
        <v>30</v>
      </c>
      <c r="F256" t="s">
        <v>31</v>
      </c>
      <c r="G256">
        <v>20</v>
      </c>
      <c r="H256">
        <v>1700</v>
      </c>
    </row>
    <row r="257" spans="1:8">
      <c r="A257">
        <v>10156</v>
      </c>
      <c r="B257" s="1">
        <v>45506</v>
      </c>
      <c r="C257" t="s">
        <v>40</v>
      </c>
      <c r="D257" t="s">
        <v>134</v>
      </c>
      <c r="E257" t="s">
        <v>33</v>
      </c>
      <c r="F257" t="s">
        <v>60</v>
      </c>
      <c r="G257">
        <v>20</v>
      </c>
      <c r="H257">
        <v>650</v>
      </c>
    </row>
    <row r="258" spans="1:8">
      <c r="A258">
        <v>10211</v>
      </c>
      <c r="B258" s="1">
        <v>45337</v>
      </c>
      <c r="C258" t="s">
        <v>15</v>
      </c>
      <c r="D258" t="s">
        <v>9</v>
      </c>
      <c r="E258" t="s">
        <v>77</v>
      </c>
      <c r="F258" t="s">
        <v>78</v>
      </c>
      <c r="G258">
        <v>15</v>
      </c>
      <c r="H258">
        <v>1850</v>
      </c>
    </row>
    <row r="259" spans="1:8">
      <c r="A259">
        <v>10212</v>
      </c>
      <c r="B259" s="1">
        <v>45355</v>
      </c>
      <c r="D259" t="s">
        <v>46</v>
      </c>
      <c r="E259" t="s">
        <v>53</v>
      </c>
      <c r="F259" t="s">
        <v>72</v>
      </c>
      <c r="G259">
        <v>10</v>
      </c>
      <c r="H259">
        <v>900</v>
      </c>
    </row>
    <row r="260" spans="1:8">
      <c r="A260">
        <v>10164</v>
      </c>
      <c r="B260" s="1">
        <v>45355</v>
      </c>
      <c r="C260" t="s">
        <v>19</v>
      </c>
      <c r="D260" t="s">
        <v>42</v>
      </c>
      <c r="E260" t="s">
        <v>38</v>
      </c>
      <c r="F260" t="s">
        <v>39</v>
      </c>
      <c r="G260">
        <v>2</v>
      </c>
      <c r="H260">
        <v>500</v>
      </c>
    </row>
    <row r="261" spans="1:8">
      <c r="A261">
        <v>10297</v>
      </c>
      <c r="B261" s="1">
        <v>45357</v>
      </c>
      <c r="C261" t="s">
        <v>100</v>
      </c>
      <c r="D261" t="s">
        <v>52</v>
      </c>
      <c r="E261" t="s">
        <v>90</v>
      </c>
      <c r="F261" t="s">
        <v>96</v>
      </c>
      <c r="G261">
        <v>3</v>
      </c>
      <c r="H261">
        <v>5150</v>
      </c>
    </row>
    <row r="262" spans="1:8">
      <c r="A262">
        <v>10268</v>
      </c>
      <c r="B262" t="s">
        <v>32</v>
      </c>
      <c r="C262" t="s">
        <v>15</v>
      </c>
      <c r="D262" t="s">
        <v>14</v>
      </c>
      <c r="E262" t="s">
        <v>33</v>
      </c>
      <c r="F262" t="s">
        <v>34</v>
      </c>
      <c r="G262">
        <v>6</v>
      </c>
      <c r="H262">
        <v>700</v>
      </c>
    </row>
    <row r="263" spans="1:8">
      <c r="A263">
        <v>10266</v>
      </c>
      <c r="B263" t="s">
        <v>67</v>
      </c>
      <c r="C263" t="s">
        <v>74</v>
      </c>
      <c r="D263" t="s">
        <v>167</v>
      </c>
      <c r="E263" t="s">
        <v>93</v>
      </c>
      <c r="F263" t="s">
        <v>94</v>
      </c>
      <c r="G263">
        <v>12</v>
      </c>
      <c r="H263">
        <v>1100</v>
      </c>
    </row>
    <row r="264" spans="1:8">
      <c r="A264">
        <v>10095</v>
      </c>
      <c r="B264" s="1">
        <v>45507</v>
      </c>
      <c r="C264" t="s">
        <v>19</v>
      </c>
      <c r="D264" t="s">
        <v>9</v>
      </c>
      <c r="E264" t="s">
        <v>25</v>
      </c>
      <c r="F264" t="s">
        <v>97</v>
      </c>
      <c r="G264">
        <v>6</v>
      </c>
      <c r="H264">
        <v>420</v>
      </c>
    </row>
    <row r="265" spans="1:8">
      <c r="A265">
        <v>10061</v>
      </c>
      <c r="B265" s="1">
        <v>45340</v>
      </c>
      <c r="C265" t="s">
        <v>41</v>
      </c>
      <c r="D265" t="s">
        <v>24</v>
      </c>
      <c r="E265" t="s">
        <v>55</v>
      </c>
      <c r="F265" t="s">
        <v>56</v>
      </c>
      <c r="G265">
        <v>4</v>
      </c>
      <c r="H265">
        <v>780</v>
      </c>
    </row>
    <row r="266" spans="1:8">
      <c r="A266">
        <v>10339</v>
      </c>
      <c r="B266" s="1">
        <v>45344</v>
      </c>
      <c r="C266" t="s">
        <v>13</v>
      </c>
      <c r="D266" t="s">
        <v>24</v>
      </c>
      <c r="E266" t="s">
        <v>25</v>
      </c>
      <c r="F266" t="s">
        <v>26</v>
      </c>
      <c r="G266">
        <v>4</v>
      </c>
      <c r="H266">
        <v>420</v>
      </c>
    </row>
    <row r="267" spans="1:8">
      <c r="A267">
        <v>10163</v>
      </c>
      <c r="B267" s="1">
        <v>45358</v>
      </c>
      <c r="C267" t="s">
        <v>47</v>
      </c>
      <c r="D267" t="s">
        <v>48</v>
      </c>
      <c r="E267" t="s">
        <v>53</v>
      </c>
      <c r="F267" t="s">
        <v>72</v>
      </c>
      <c r="G267">
        <v>3</v>
      </c>
      <c r="H267">
        <v>950</v>
      </c>
    </row>
    <row r="268" spans="1:8">
      <c r="A268">
        <v>10309</v>
      </c>
      <c r="B268" s="1">
        <v>45336</v>
      </c>
      <c r="C268" t="s">
        <v>98</v>
      </c>
      <c r="D268" t="s">
        <v>48</v>
      </c>
      <c r="E268" t="s">
        <v>50</v>
      </c>
      <c r="F268" t="s">
        <v>89</v>
      </c>
      <c r="G268">
        <v>6</v>
      </c>
      <c r="H268">
        <v>1550</v>
      </c>
    </row>
    <row r="269" spans="1:8">
      <c r="A269">
        <v>10075</v>
      </c>
      <c r="B269" s="1">
        <v>45337</v>
      </c>
      <c r="C269" t="s">
        <v>74</v>
      </c>
      <c r="D269" t="s">
        <v>167</v>
      </c>
      <c r="E269" t="s">
        <v>93</v>
      </c>
      <c r="F269" t="s">
        <v>94</v>
      </c>
      <c r="G269">
        <v>4</v>
      </c>
      <c r="H269">
        <v>1050</v>
      </c>
    </row>
    <row r="270" spans="1:8">
      <c r="A270">
        <v>10221</v>
      </c>
      <c r="B270" s="1">
        <v>45318</v>
      </c>
      <c r="C270" t="s">
        <v>15</v>
      </c>
      <c r="D270" t="s">
        <v>46</v>
      </c>
      <c r="E270" t="s">
        <v>50</v>
      </c>
      <c r="F270" t="s">
        <v>89</v>
      </c>
      <c r="G270">
        <v>10</v>
      </c>
      <c r="H270">
        <v>1400</v>
      </c>
    </row>
    <row r="271" spans="1:8">
      <c r="A271">
        <v>10070</v>
      </c>
      <c r="B271" s="1">
        <v>45338</v>
      </c>
      <c r="C271" t="s">
        <v>100</v>
      </c>
      <c r="D271" t="s">
        <v>46</v>
      </c>
      <c r="E271" t="s">
        <v>55</v>
      </c>
      <c r="F271" t="s">
        <v>56</v>
      </c>
      <c r="G271">
        <v>3</v>
      </c>
      <c r="H271">
        <v>780</v>
      </c>
    </row>
    <row r="272" spans="1:8">
      <c r="A272">
        <v>10269</v>
      </c>
      <c r="B272" s="1">
        <v>45377</v>
      </c>
      <c r="C272" t="s">
        <v>35</v>
      </c>
      <c r="D272" t="s">
        <v>81</v>
      </c>
      <c r="E272" t="s">
        <v>77</v>
      </c>
      <c r="F272" t="s">
        <v>78</v>
      </c>
      <c r="G272">
        <v>20</v>
      </c>
      <c r="H272">
        <v>1950</v>
      </c>
    </row>
    <row r="273" spans="1:8">
      <c r="A273">
        <v>10159</v>
      </c>
      <c r="B273" t="s">
        <v>168</v>
      </c>
      <c r="C273" t="s">
        <v>40</v>
      </c>
      <c r="D273" t="s">
        <v>16</v>
      </c>
      <c r="E273" t="s">
        <v>111</v>
      </c>
      <c r="F273" t="s">
        <v>112</v>
      </c>
      <c r="G273">
        <v>6</v>
      </c>
      <c r="H273">
        <v>850</v>
      </c>
    </row>
    <row r="274" spans="1:8">
      <c r="A274">
        <v>10275</v>
      </c>
      <c r="B274" s="1">
        <v>45374</v>
      </c>
      <c r="C274" t="s">
        <v>35</v>
      </c>
      <c r="D274" t="s">
        <v>149</v>
      </c>
      <c r="E274" t="s">
        <v>111</v>
      </c>
      <c r="F274" t="s">
        <v>112</v>
      </c>
      <c r="G274">
        <v>12</v>
      </c>
    </row>
    <row r="275" spans="1:8">
      <c r="A275">
        <v>10104</v>
      </c>
      <c r="B275" t="s">
        <v>28</v>
      </c>
      <c r="C275" t="s">
        <v>41</v>
      </c>
      <c r="D275" t="s">
        <v>62</v>
      </c>
      <c r="E275" t="s">
        <v>33</v>
      </c>
      <c r="F275" t="s">
        <v>34</v>
      </c>
      <c r="G275">
        <v>12</v>
      </c>
      <c r="H275">
        <v>800</v>
      </c>
    </row>
    <row r="276" spans="1:8">
      <c r="A276">
        <v>10290</v>
      </c>
      <c r="B276" s="1">
        <v>45627</v>
      </c>
      <c r="C276" t="s">
        <v>41</v>
      </c>
      <c r="D276" t="s">
        <v>9</v>
      </c>
      <c r="E276" t="s">
        <v>21</v>
      </c>
      <c r="F276" t="s">
        <v>22</v>
      </c>
      <c r="G276">
        <v>15</v>
      </c>
      <c r="H276">
        <v>2400</v>
      </c>
    </row>
    <row r="277" spans="1:8">
      <c r="A277">
        <v>10106</v>
      </c>
      <c r="B277" s="1">
        <v>45334</v>
      </c>
      <c r="C277" t="s">
        <v>15</v>
      </c>
      <c r="D277" t="s">
        <v>110</v>
      </c>
      <c r="E277" t="s">
        <v>25</v>
      </c>
      <c r="F277" t="s">
        <v>97</v>
      </c>
      <c r="G277">
        <v>12</v>
      </c>
      <c r="H277">
        <v>420</v>
      </c>
    </row>
    <row r="278" spans="1:8">
      <c r="A278">
        <v>10068</v>
      </c>
      <c r="B278" s="1">
        <v>45414</v>
      </c>
      <c r="C278" t="s">
        <v>98</v>
      </c>
      <c r="D278" t="s">
        <v>149</v>
      </c>
      <c r="E278" t="s">
        <v>21</v>
      </c>
      <c r="F278" t="s">
        <v>22</v>
      </c>
      <c r="G278">
        <v>15</v>
      </c>
      <c r="H278">
        <v>2350</v>
      </c>
    </row>
    <row r="279" spans="1:8">
      <c r="A279">
        <v>10278</v>
      </c>
      <c r="B279" t="s">
        <v>169</v>
      </c>
      <c r="C279" t="s">
        <v>40</v>
      </c>
      <c r="D279" t="s">
        <v>46</v>
      </c>
      <c r="E279" t="s">
        <v>30</v>
      </c>
      <c r="F279" t="s">
        <v>31</v>
      </c>
      <c r="G279">
        <v>15</v>
      </c>
      <c r="H279">
        <v>1700</v>
      </c>
    </row>
    <row r="280" spans="1:8">
      <c r="A280">
        <v>10230</v>
      </c>
      <c r="B280" s="1">
        <v>45296</v>
      </c>
      <c r="C280" t="s">
        <v>41</v>
      </c>
      <c r="D280" t="s">
        <v>149</v>
      </c>
      <c r="E280" t="s">
        <v>21</v>
      </c>
      <c r="F280" t="s">
        <v>22</v>
      </c>
      <c r="G280">
        <v>6</v>
      </c>
      <c r="H280">
        <v>2300</v>
      </c>
    </row>
    <row r="281" spans="1:8">
      <c r="A281">
        <v>10169</v>
      </c>
      <c r="B281" s="1">
        <v>45343</v>
      </c>
      <c r="C281" t="s">
        <v>35</v>
      </c>
      <c r="D281" t="s">
        <v>48</v>
      </c>
      <c r="E281" t="s">
        <v>50</v>
      </c>
      <c r="F281" t="s">
        <v>51</v>
      </c>
      <c r="G281">
        <v>1</v>
      </c>
      <c r="H281">
        <v>1400</v>
      </c>
    </row>
    <row r="282" spans="1:8">
      <c r="A282">
        <v>10160</v>
      </c>
      <c r="B282" s="1">
        <v>45349</v>
      </c>
      <c r="C282" t="s">
        <v>152</v>
      </c>
      <c r="D282" t="s">
        <v>14</v>
      </c>
      <c r="E282" t="s">
        <v>25</v>
      </c>
      <c r="F282" t="s">
        <v>26</v>
      </c>
      <c r="G282">
        <v>12</v>
      </c>
      <c r="H282">
        <v>470</v>
      </c>
    </row>
    <row r="283" spans="1:8">
      <c r="A283">
        <v>10219</v>
      </c>
      <c r="B283" s="1">
        <v>45303</v>
      </c>
      <c r="C283" t="s">
        <v>35</v>
      </c>
      <c r="D283" t="s">
        <v>81</v>
      </c>
      <c r="E283" t="s">
        <v>30</v>
      </c>
      <c r="F283" t="s">
        <v>31</v>
      </c>
      <c r="G283">
        <v>1</v>
      </c>
      <c r="H283">
        <v>1750</v>
      </c>
    </row>
    <row r="284" spans="1:8">
      <c r="A284">
        <v>10079</v>
      </c>
      <c r="B284" s="1">
        <v>45348</v>
      </c>
      <c r="C284" t="s">
        <v>74</v>
      </c>
      <c r="D284" t="s">
        <v>16</v>
      </c>
      <c r="E284" t="s">
        <v>25</v>
      </c>
      <c r="F284" t="s">
        <v>97</v>
      </c>
      <c r="G284">
        <v>15</v>
      </c>
      <c r="H284">
        <v>420</v>
      </c>
    </row>
    <row r="285" spans="1:8">
      <c r="A285">
        <v>10124</v>
      </c>
      <c r="B285" s="1">
        <v>45379</v>
      </c>
      <c r="C285" t="s">
        <v>79</v>
      </c>
      <c r="D285" t="s">
        <v>16</v>
      </c>
      <c r="E285" t="s">
        <v>53</v>
      </c>
      <c r="F285" t="s">
        <v>54</v>
      </c>
      <c r="G285">
        <v>2</v>
      </c>
      <c r="H285">
        <v>1000</v>
      </c>
    </row>
    <row r="286" spans="1:8">
      <c r="A286">
        <v>10214</v>
      </c>
      <c r="B286" s="1">
        <v>45330</v>
      </c>
      <c r="C286" t="s">
        <v>35</v>
      </c>
      <c r="D286" t="s">
        <v>9</v>
      </c>
      <c r="E286" t="s">
        <v>53</v>
      </c>
      <c r="F286" t="s">
        <v>72</v>
      </c>
      <c r="G286">
        <v>8</v>
      </c>
      <c r="H286">
        <v>1000</v>
      </c>
    </row>
    <row r="287" spans="1:8">
      <c r="A287">
        <v>10117</v>
      </c>
      <c r="B287" t="s">
        <v>170</v>
      </c>
      <c r="C287" t="s">
        <v>35</v>
      </c>
      <c r="D287" t="s">
        <v>109</v>
      </c>
      <c r="E287" t="s">
        <v>55</v>
      </c>
      <c r="F287" t="s">
        <v>56</v>
      </c>
      <c r="G287">
        <v>2</v>
      </c>
      <c r="H287">
        <v>780</v>
      </c>
    </row>
    <row r="288" spans="1:8">
      <c r="A288">
        <v>10267</v>
      </c>
      <c r="B288" s="1">
        <v>45376</v>
      </c>
      <c r="C288" t="s">
        <v>23</v>
      </c>
      <c r="D288" t="s">
        <v>81</v>
      </c>
      <c r="E288" t="s">
        <v>10</v>
      </c>
      <c r="F288" t="s">
        <v>11</v>
      </c>
      <c r="G288">
        <v>15</v>
      </c>
      <c r="H288">
        <v>1400</v>
      </c>
    </row>
    <row r="289" spans="1:8">
      <c r="A289">
        <v>10196</v>
      </c>
      <c r="B289" s="1">
        <v>45364</v>
      </c>
      <c r="D289" t="s">
        <v>24</v>
      </c>
      <c r="E289" t="s">
        <v>53</v>
      </c>
      <c r="F289" t="s">
        <v>54</v>
      </c>
      <c r="G289">
        <v>5</v>
      </c>
      <c r="H289">
        <v>900</v>
      </c>
    </row>
    <row r="290" spans="1:8">
      <c r="A290">
        <v>10045</v>
      </c>
      <c r="B290" s="1">
        <v>45353</v>
      </c>
      <c r="C290" t="s">
        <v>95</v>
      </c>
      <c r="D290" t="s">
        <v>46</v>
      </c>
      <c r="E290" t="s">
        <v>21</v>
      </c>
      <c r="F290" t="s">
        <v>22</v>
      </c>
      <c r="G290">
        <v>15</v>
      </c>
      <c r="H290">
        <v>2300</v>
      </c>
    </row>
    <row r="291" spans="1:8">
      <c r="A291">
        <v>10071</v>
      </c>
      <c r="B291" t="s">
        <v>171</v>
      </c>
      <c r="C291" t="s">
        <v>45</v>
      </c>
      <c r="D291" t="s">
        <v>48</v>
      </c>
      <c r="E291" t="s">
        <v>55</v>
      </c>
      <c r="F291" t="s">
        <v>56</v>
      </c>
      <c r="G291">
        <v>12</v>
      </c>
      <c r="H291">
        <v>780</v>
      </c>
    </row>
    <row r="292" spans="1:8">
      <c r="A292">
        <v>10310</v>
      </c>
      <c r="B292" s="1">
        <v>45302</v>
      </c>
      <c r="C292" t="s">
        <v>152</v>
      </c>
      <c r="D292" t="s">
        <v>46</v>
      </c>
      <c r="E292" t="s">
        <v>38</v>
      </c>
      <c r="F292" t="s">
        <v>39</v>
      </c>
      <c r="G292">
        <v>20</v>
      </c>
      <c r="H292">
        <v>500</v>
      </c>
    </row>
    <row r="293" spans="1:8">
      <c r="A293">
        <v>10175</v>
      </c>
      <c r="B293" s="1">
        <v>45367</v>
      </c>
      <c r="C293" t="s">
        <v>74</v>
      </c>
      <c r="D293" t="s">
        <v>104</v>
      </c>
      <c r="E293" t="s">
        <v>25</v>
      </c>
      <c r="F293" t="s">
        <v>97</v>
      </c>
      <c r="G293">
        <v>2</v>
      </c>
      <c r="H293">
        <v>420</v>
      </c>
    </row>
    <row r="294" spans="1:8">
      <c r="A294">
        <v>10078</v>
      </c>
      <c r="B294" s="1">
        <v>45305</v>
      </c>
      <c r="C294" t="s">
        <v>41</v>
      </c>
      <c r="D294" t="s">
        <v>14</v>
      </c>
      <c r="E294" t="s">
        <v>90</v>
      </c>
      <c r="F294" t="s">
        <v>144</v>
      </c>
      <c r="G294">
        <v>1</v>
      </c>
      <c r="H294">
        <v>5300</v>
      </c>
    </row>
    <row r="295" spans="1:8">
      <c r="A295">
        <v>10116</v>
      </c>
      <c r="B295" s="1">
        <v>45351</v>
      </c>
      <c r="C295" t="s">
        <v>40</v>
      </c>
      <c r="D295" t="s">
        <v>64</v>
      </c>
      <c r="E295" t="s">
        <v>53</v>
      </c>
      <c r="F295" t="s">
        <v>72</v>
      </c>
      <c r="G295">
        <v>12</v>
      </c>
      <c r="H295">
        <v>1050</v>
      </c>
    </row>
    <row r="296" spans="1:8">
      <c r="A296">
        <v>10144</v>
      </c>
      <c r="B296" s="1">
        <v>45414</v>
      </c>
      <c r="C296" t="s">
        <v>15</v>
      </c>
      <c r="D296" t="s">
        <v>139</v>
      </c>
      <c r="E296" t="s">
        <v>17</v>
      </c>
      <c r="F296" t="s">
        <v>18</v>
      </c>
      <c r="G296">
        <v>20</v>
      </c>
      <c r="H296">
        <v>600</v>
      </c>
    </row>
    <row r="297" spans="1:8">
      <c r="A297">
        <v>10285</v>
      </c>
      <c r="B297" s="1">
        <v>45337</v>
      </c>
      <c r="C297" t="s">
        <v>162</v>
      </c>
      <c r="D297" t="s">
        <v>84</v>
      </c>
      <c r="E297" t="s">
        <v>10</v>
      </c>
      <c r="F297" t="s">
        <v>11</v>
      </c>
      <c r="H297">
        <v>1400</v>
      </c>
    </row>
    <row r="298" spans="1:8">
      <c r="A298">
        <v>10016</v>
      </c>
      <c r="B298" s="1">
        <v>45361</v>
      </c>
      <c r="C298" t="s">
        <v>74</v>
      </c>
      <c r="D298" t="s">
        <v>134</v>
      </c>
      <c r="E298" t="s">
        <v>21</v>
      </c>
      <c r="F298" t="s">
        <v>22</v>
      </c>
      <c r="G298">
        <v>4</v>
      </c>
      <c r="H298">
        <v>2300</v>
      </c>
    </row>
    <row r="299" spans="1:8">
      <c r="A299">
        <v>10338</v>
      </c>
      <c r="B299" s="1">
        <v>45629</v>
      </c>
      <c r="C299" t="s">
        <v>15</v>
      </c>
      <c r="D299" t="s">
        <v>81</v>
      </c>
      <c r="E299" t="s">
        <v>65</v>
      </c>
      <c r="F299" t="s">
        <v>73</v>
      </c>
      <c r="G299">
        <v>20</v>
      </c>
      <c r="H299">
        <v>750</v>
      </c>
    </row>
    <row r="300" spans="1:8">
      <c r="A300">
        <v>10132</v>
      </c>
      <c r="B300" s="1">
        <v>45305</v>
      </c>
      <c r="C300" t="s">
        <v>59</v>
      </c>
      <c r="D300" t="s">
        <v>14</v>
      </c>
      <c r="E300" t="s">
        <v>77</v>
      </c>
      <c r="F300" t="s">
        <v>78</v>
      </c>
      <c r="G300">
        <v>1</v>
      </c>
      <c r="H300">
        <v>1950</v>
      </c>
    </row>
    <row r="301" spans="1:8">
      <c r="A301">
        <v>10032</v>
      </c>
      <c r="B301" s="1">
        <v>45381</v>
      </c>
      <c r="C301" t="s">
        <v>41</v>
      </c>
      <c r="D301" t="s">
        <v>81</v>
      </c>
      <c r="E301" t="s">
        <v>65</v>
      </c>
      <c r="F301" t="s">
        <v>73</v>
      </c>
      <c r="G301">
        <v>4</v>
      </c>
    </row>
    <row r="302" spans="1:8">
      <c r="A302">
        <v>10142</v>
      </c>
      <c r="B302" t="s">
        <v>164</v>
      </c>
      <c r="C302" t="s">
        <v>40</v>
      </c>
      <c r="D302" t="s">
        <v>48</v>
      </c>
      <c r="E302" t="s">
        <v>25</v>
      </c>
      <c r="F302" t="s">
        <v>97</v>
      </c>
      <c r="G302">
        <v>8</v>
      </c>
      <c r="H302">
        <v>470</v>
      </c>
    </row>
    <row r="303" spans="1:8">
      <c r="A303">
        <v>10320</v>
      </c>
      <c r="B303" s="1">
        <v>45293</v>
      </c>
      <c r="C303" t="s">
        <v>74</v>
      </c>
      <c r="D303" t="s">
        <v>14</v>
      </c>
      <c r="E303" t="s">
        <v>65</v>
      </c>
      <c r="F303" t="s">
        <v>73</v>
      </c>
      <c r="G303">
        <v>10</v>
      </c>
      <c r="H303">
        <v>650</v>
      </c>
    </row>
    <row r="304" spans="1:8">
      <c r="A304">
        <v>10121</v>
      </c>
      <c r="B304" s="1">
        <v>45341</v>
      </c>
      <c r="C304" t="s">
        <v>145</v>
      </c>
      <c r="D304" t="s">
        <v>48</v>
      </c>
      <c r="E304" t="s">
        <v>77</v>
      </c>
      <c r="F304" t="s">
        <v>172</v>
      </c>
      <c r="G304">
        <v>3</v>
      </c>
      <c r="H304">
        <v>1850</v>
      </c>
    </row>
    <row r="305" spans="1:8">
      <c r="A305">
        <v>10155</v>
      </c>
      <c r="B305" s="1">
        <v>45314</v>
      </c>
      <c r="C305" t="s">
        <v>58</v>
      </c>
      <c r="D305" t="s">
        <v>16</v>
      </c>
      <c r="E305" t="s">
        <v>111</v>
      </c>
      <c r="F305" t="s">
        <v>112</v>
      </c>
      <c r="G305">
        <v>3</v>
      </c>
      <c r="H305">
        <v>900</v>
      </c>
    </row>
    <row r="306" spans="1:8">
      <c r="A306">
        <v>10182</v>
      </c>
      <c r="B306" s="2">
        <v>45354</v>
      </c>
      <c r="C306" t="s">
        <v>106</v>
      </c>
      <c r="D306" t="s">
        <v>46</v>
      </c>
      <c r="E306" t="s">
        <v>33</v>
      </c>
      <c r="F306" t="s">
        <v>60</v>
      </c>
      <c r="G306">
        <v>8</v>
      </c>
      <c r="H306">
        <v>750</v>
      </c>
    </row>
    <row r="307" spans="1:8">
      <c r="A307">
        <v>10181</v>
      </c>
      <c r="B307" s="2">
        <v>45365</v>
      </c>
      <c r="C307" t="s">
        <v>35</v>
      </c>
      <c r="D307" t="s">
        <v>16</v>
      </c>
      <c r="E307" t="s">
        <v>53</v>
      </c>
      <c r="F307" t="s">
        <v>72</v>
      </c>
      <c r="G307">
        <v>8</v>
      </c>
      <c r="H307">
        <v>900</v>
      </c>
    </row>
    <row r="308" spans="1:8">
      <c r="A308">
        <v>10178</v>
      </c>
      <c r="B308" s="2">
        <v>45350</v>
      </c>
      <c r="C308" t="s">
        <v>19</v>
      </c>
      <c r="D308" t="s">
        <v>81</v>
      </c>
      <c r="E308" t="s">
        <v>111</v>
      </c>
      <c r="F308" t="s">
        <v>112</v>
      </c>
      <c r="G308">
        <v>12</v>
      </c>
      <c r="H308">
        <v>850</v>
      </c>
    </row>
    <row r="309" spans="1:8">
      <c r="A309">
        <v>10334</v>
      </c>
      <c r="B309" t="s">
        <v>173</v>
      </c>
      <c r="C309" t="s">
        <v>74</v>
      </c>
      <c r="D309" t="s">
        <v>48</v>
      </c>
      <c r="E309" t="s">
        <v>90</v>
      </c>
      <c r="F309" t="s">
        <v>144</v>
      </c>
      <c r="G309">
        <v>4</v>
      </c>
      <c r="H309">
        <v>5150</v>
      </c>
    </row>
    <row r="310" spans="1:8">
      <c r="A310">
        <v>10081</v>
      </c>
      <c r="B310" t="s">
        <v>174</v>
      </c>
      <c r="C310" t="s">
        <v>35</v>
      </c>
      <c r="D310" t="s">
        <v>24</v>
      </c>
      <c r="E310" t="s">
        <v>53</v>
      </c>
      <c r="F310" t="s">
        <v>72</v>
      </c>
      <c r="G310">
        <v>20</v>
      </c>
      <c r="H310">
        <v>1000</v>
      </c>
    </row>
    <row r="311" spans="1:8">
      <c r="A311">
        <v>10202</v>
      </c>
      <c r="B311" s="1">
        <v>45301</v>
      </c>
      <c r="C311" t="s">
        <v>19</v>
      </c>
      <c r="D311" t="s">
        <v>62</v>
      </c>
      <c r="E311" t="s">
        <v>65</v>
      </c>
      <c r="F311" t="s">
        <v>124</v>
      </c>
      <c r="G311">
        <v>20</v>
      </c>
      <c r="H311">
        <v>650</v>
      </c>
    </row>
    <row r="312" spans="1:8">
      <c r="A312">
        <v>10251</v>
      </c>
      <c r="B312" s="1">
        <v>45353</v>
      </c>
      <c r="C312" t="s">
        <v>40</v>
      </c>
      <c r="D312" t="s">
        <v>88</v>
      </c>
      <c r="E312" t="s">
        <v>17</v>
      </c>
      <c r="F312" t="s">
        <v>18</v>
      </c>
      <c r="G312">
        <v>20</v>
      </c>
      <c r="H312">
        <v>650</v>
      </c>
    </row>
    <row r="313" spans="1:8">
      <c r="A313">
        <v>10171</v>
      </c>
      <c r="B313" s="1">
        <v>45352</v>
      </c>
      <c r="C313" t="s">
        <v>98</v>
      </c>
      <c r="D313" t="s">
        <v>81</v>
      </c>
      <c r="E313" t="s">
        <v>30</v>
      </c>
      <c r="F313" t="s">
        <v>31</v>
      </c>
      <c r="G313">
        <v>10</v>
      </c>
      <c r="H313">
        <v>1700</v>
      </c>
    </row>
    <row r="314" spans="1:8">
      <c r="A314">
        <v>10157</v>
      </c>
      <c r="B314" s="1">
        <v>45304</v>
      </c>
      <c r="C314" t="s">
        <v>19</v>
      </c>
      <c r="D314" t="s">
        <v>62</v>
      </c>
      <c r="E314" t="s">
        <v>77</v>
      </c>
      <c r="F314" t="s">
        <v>78</v>
      </c>
      <c r="G314">
        <v>4</v>
      </c>
      <c r="H314">
        <v>1950</v>
      </c>
    </row>
    <row r="315" spans="1:8">
      <c r="A315">
        <v>10272</v>
      </c>
      <c r="B315" s="1">
        <v>45334</v>
      </c>
      <c r="C315" t="s">
        <v>98</v>
      </c>
      <c r="D315" t="s">
        <v>16</v>
      </c>
      <c r="E315" t="s">
        <v>50</v>
      </c>
      <c r="F315" t="s">
        <v>71</v>
      </c>
      <c r="G315">
        <v>1</v>
      </c>
      <c r="H315">
        <v>1450</v>
      </c>
    </row>
    <row r="316" spans="1:8">
      <c r="A316">
        <v>10127</v>
      </c>
      <c r="B316" s="1">
        <v>45352</v>
      </c>
      <c r="C316" t="s">
        <v>35</v>
      </c>
      <c r="D316" t="s">
        <v>14</v>
      </c>
      <c r="E316" t="s">
        <v>30</v>
      </c>
      <c r="F316" t="s">
        <v>31</v>
      </c>
      <c r="G316">
        <v>1</v>
      </c>
      <c r="H316">
        <v>1800</v>
      </c>
    </row>
    <row r="317" spans="1:8">
      <c r="A317">
        <v>10021</v>
      </c>
      <c r="B317" s="1">
        <v>45507</v>
      </c>
      <c r="C317" t="s">
        <v>175</v>
      </c>
      <c r="D317" t="s">
        <v>109</v>
      </c>
      <c r="E317" t="s">
        <v>21</v>
      </c>
      <c r="F317" t="s">
        <v>22</v>
      </c>
      <c r="G317">
        <v>20</v>
      </c>
      <c r="H317">
        <v>2250</v>
      </c>
    </row>
    <row r="318" spans="1:8">
      <c r="A318">
        <v>10012</v>
      </c>
      <c r="B318" s="1">
        <v>45319</v>
      </c>
      <c r="C318" t="s">
        <v>19</v>
      </c>
      <c r="D318" t="s">
        <v>42</v>
      </c>
      <c r="E318" t="s">
        <v>30</v>
      </c>
      <c r="F318" t="s">
        <v>31</v>
      </c>
      <c r="G318">
        <v>5</v>
      </c>
      <c r="H318">
        <v>1750</v>
      </c>
    </row>
    <row r="319" spans="1:8">
      <c r="A319">
        <v>10288</v>
      </c>
      <c r="B319" t="s">
        <v>176</v>
      </c>
      <c r="C319" t="s">
        <v>41</v>
      </c>
      <c r="D319" t="s">
        <v>27</v>
      </c>
      <c r="E319" t="s">
        <v>53</v>
      </c>
      <c r="F319" t="s">
        <v>177</v>
      </c>
      <c r="G319">
        <v>4</v>
      </c>
      <c r="H319">
        <v>1000</v>
      </c>
    </row>
    <row r="320" spans="1:8">
      <c r="A320">
        <v>10235</v>
      </c>
      <c r="B320" t="s">
        <v>178</v>
      </c>
      <c r="C320" t="s">
        <v>58</v>
      </c>
      <c r="D320" t="s">
        <v>48</v>
      </c>
      <c r="E320" t="s">
        <v>33</v>
      </c>
      <c r="F320" t="s">
        <v>60</v>
      </c>
      <c r="G320">
        <v>6</v>
      </c>
      <c r="H320">
        <v>700</v>
      </c>
    </row>
    <row r="321" spans="1:8">
      <c r="A321">
        <v>10257</v>
      </c>
      <c r="B321" s="1">
        <v>45344</v>
      </c>
      <c r="C321" t="s">
        <v>74</v>
      </c>
      <c r="D321" t="s">
        <v>114</v>
      </c>
      <c r="E321" t="s">
        <v>90</v>
      </c>
      <c r="F321" t="s">
        <v>144</v>
      </c>
      <c r="G321">
        <v>4</v>
      </c>
      <c r="H321">
        <v>5200</v>
      </c>
    </row>
    <row r="322" spans="1:8">
      <c r="A322">
        <v>10102</v>
      </c>
      <c r="B322" s="1">
        <v>45295</v>
      </c>
      <c r="C322" t="s">
        <v>35</v>
      </c>
      <c r="D322" t="s">
        <v>134</v>
      </c>
      <c r="E322" t="s">
        <v>55</v>
      </c>
      <c r="F322" t="s">
        <v>160</v>
      </c>
      <c r="G322">
        <v>20</v>
      </c>
      <c r="H322">
        <v>780</v>
      </c>
    </row>
    <row r="323" spans="1:8">
      <c r="A323">
        <v>10096</v>
      </c>
      <c r="B323" s="1">
        <v>45328</v>
      </c>
      <c r="C323" t="s">
        <v>35</v>
      </c>
      <c r="D323" t="s">
        <v>9</v>
      </c>
      <c r="E323" t="s">
        <v>25</v>
      </c>
      <c r="F323" t="s">
        <v>97</v>
      </c>
      <c r="G323">
        <v>2</v>
      </c>
      <c r="H323">
        <v>520</v>
      </c>
    </row>
    <row r="324" spans="1:8">
      <c r="A324">
        <v>10046</v>
      </c>
      <c r="B324" s="1">
        <v>45294</v>
      </c>
      <c r="C324" t="s">
        <v>74</v>
      </c>
      <c r="D324" t="s">
        <v>46</v>
      </c>
      <c r="E324" t="s">
        <v>77</v>
      </c>
      <c r="F324" t="s">
        <v>78</v>
      </c>
      <c r="G324">
        <v>8</v>
      </c>
      <c r="H324">
        <v>1850</v>
      </c>
    </row>
    <row r="325" spans="1:8">
      <c r="A325">
        <v>10273</v>
      </c>
      <c r="B325" s="1">
        <v>45294</v>
      </c>
      <c r="C325" t="s">
        <v>41</v>
      </c>
      <c r="D325" t="s">
        <v>16</v>
      </c>
      <c r="E325" t="s">
        <v>111</v>
      </c>
      <c r="F325" t="s">
        <v>112</v>
      </c>
      <c r="G325">
        <v>1</v>
      </c>
      <c r="H325">
        <v>1000</v>
      </c>
    </row>
    <row r="326" spans="1:8">
      <c r="A326">
        <v>10306</v>
      </c>
      <c r="B326" s="1">
        <v>45385</v>
      </c>
      <c r="C326" t="s">
        <v>152</v>
      </c>
      <c r="D326" t="s">
        <v>14</v>
      </c>
      <c r="E326" t="s">
        <v>65</v>
      </c>
      <c r="F326" t="s">
        <v>73</v>
      </c>
      <c r="G326">
        <v>6</v>
      </c>
      <c r="H326">
        <v>650</v>
      </c>
    </row>
    <row r="327" spans="1:8">
      <c r="A327">
        <v>10249</v>
      </c>
      <c r="B327" s="1">
        <v>45384</v>
      </c>
      <c r="C327" t="s">
        <v>41</v>
      </c>
      <c r="D327" t="s">
        <v>81</v>
      </c>
      <c r="E327" t="s">
        <v>10</v>
      </c>
      <c r="F327" t="s">
        <v>11</v>
      </c>
      <c r="G327">
        <v>8</v>
      </c>
      <c r="H327">
        <v>1300</v>
      </c>
    </row>
    <row r="328" spans="1:8">
      <c r="A328">
        <v>10162</v>
      </c>
      <c r="B328" s="1">
        <v>45383</v>
      </c>
      <c r="C328" t="s">
        <v>58</v>
      </c>
      <c r="D328" t="s">
        <v>24</v>
      </c>
      <c r="E328" t="s">
        <v>111</v>
      </c>
      <c r="F328" t="s">
        <v>112</v>
      </c>
      <c r="G328">
        <v>2</v>
      </c>
      <c r="H328">
        <v>1000</v>
      </c>
    </row>
    <row r="329" spans="1:8">
      <c r="A329">
        <v>10051</v>
      </c>
      <c r="B329" s="1">
        <v>45537</v>
      </c>
      <c r="C329" t="s">
        <v>145</v>
      </c>
      <c r="D329" t="s">
        <v>133</v>
      </c>
      <c r="E329" t="s">
        <v>90</v>
      </c>
      <c r="F329" t="s">
        <v>91</v>
      </c>
      <c r="G329">
        <v>2</v>
      </c>
      <c r="H329">
        <v>5200</v>
      </c>
    </row>
    <row r="330" spans="1:8">
      <c r="A330">
        <v>10261</v>
      </c>
      <c r="B330" s="2">
        <v>45329</v>
      </c>
      <c r="C330" t="s">
        <v>40</v>
      </c>
      <c r="D330" t="s">
        <v>24</v>
      </c>
      <c r="E330" t="s">
        <v>21</v>
      </c>
      <c r="F330" t="s">
        <v>22</v>
      </c>
      <c r="G330">
        <v>20</v>
      </c>
      <c r="H330">
        <v>2300</v>
      </c>
    </row>
    <row r="331" spans="1:8">
      <c r="A331">
        <v>10195</v>
      </c>
      <c r="B331" s="1">
        <v>45326</v>
      </c>
      <c r="C331" t="s">
        <v>40</v>
      </c>
      <c r="D331" t="s">
        <v>134</v>
      </c>
      <c r="E331" t="s">
        <v>10</v>
      </c>
      <c r="F331" t="s">
        <v>179</v>
      </c>
      <c r="G331">
        <v>1</v>
      </c>
      <c r="H331">
        <v>1300</v>
      </c>
    </row>
    <row r="332" spans="1:8">
      <c r="A332">
        <v>10119</v>
      </c>
      <c r="B332" s="1">
        <v>45355</v>
      </c>
      <c r="C332" t="s">
        <v>40</v>
      </c>
      <c r="D332" t="s">
        <v>46</v>
      </c>
      <c r="E332" t="s">
        <v>33</v>
      </c>
      <c r="F332" t="s">
        <v>60</v>
      </c>
      <c r="G332">
        <v>5</v>
      </c>
      <c r="H332">
        <v>750</v>
      </c>
    </row>
    <row r="333" spans="1:8">
      <c r="A333">
        <v>10198</v>
      </c>
      <c r="B333" t="s">
        <v>180</v>
      </c>
      <c r="C333" t="s">
        <v>98</v>
      </c>
      <c r="D333" t="s">
        <v>62</v>
      </c>
      <c r="E333" t="s">
        <v>53</v>
      </c>
      <c r="F333" t="s">
        <v>54</v>
      </c>
      <c r="G333">
        <v>4</v>
      </c>
      <c r="H333">
        <v>1050</v>
      </c>
    </row>
    <row r="334" spans="1:8">
      <c r="A334">
        <v>10150</v>
      </c>
      <c r="B334" s="1">
        <v>45353</v>
      </c>
      <c r="C334" t="s">
        <v>15</v>
      </c>
      <c r="D334" t="s">
        <v>52</v>
      </c>
      <c r="E334" t="s">
        <v>65</v>
      </c>
      <c r="F334" t="s">
        <v>73</v>
      </c>
      <c r="G334">
        <v>4</v>
      </c>
      <c r="H334">
        <v>750</v>
      </c>
    </row>
    <row r="335" spans="1:8">
      <c r="A335">
        <v>10073</v>
      </c>
      <c r="B335" s="1">
        <v>45444</v>
      </c>
      <c r="C335" t="s">
        <v>74</v>
      </c>
      <c r="D335" t="s">
        <v>46</v>
      </c>
      <c r="E335" t="s">
        <v>38</v>
      </c>
      <c r="F335" t="s">
        <v>39</v>
      </c>
      <c r="G335">
        <v>2</v>
      </c>
      <c r="H335">
        <v>450</v>
      </c>
    </row>
    <row r="336" spans="1:8">
      <c r="A336">
        <v>10056</v>
      </c>
      <c r="B336" s="1">
        <v>45333</v>
      </c>
      <c r="C336" t="s">
        <v>29</v>
      </c>
      <c r="D336" t="s">
        <v>20</v>
      </c>
      <c r="E336" t="s">
        <v>55</v>
      </c>
      <c r="F336" t="s">
        <v>56</v>
      </c>
      <c r="G336">
        <v>3</v>
      </c>
      <c r="H336">
        <v>780</v>
      </c>
    </row>
    <row r="337" spans="1:8">
      <c r="A337">
        <v>10185</v>
      </c>
      <c r="B337" t="s">
        <v>181</v>
      </c>
      <c r="C337" t="s">
        <v>35</v>
      </c>
      <c r="D337" t="s">
        <v>122</v>
      </c>
      <c r="E337" t="s">
        <v>55</v>
      </c>
      <c r="F337" t="s">
        <v>56</v>
      </c>
      <c r="G337">
        <v>5</v>
      </c>
      <c r="H337">
        <v>730</v>
      </c>
    </row>
    <row r="338" spans="1:8">
      <c r="A338">
        <v>10231</v>
      </c>
      <c r="B338" s="1">
        <v>45352</v>
      </c>
      <c r="C338" t="s">
        <v>79</v>
      </c>
      <c r="D338" t="s">
        <v>24</v>
      </c>
      <c r="E338" t="s">
        <v>25</v>
      </c>
      <c r="F338" t="s">
        <v>26</v>
      </c>
      <c r="G338">
        <v>3</v>
      </c>
      <c r="H338">
        <v>420</v>
      </c>
    </row>
    <row r="339" spans="1:8">
      <c r="A339">
        <v>10199</v>
      </c>
      <c r="B339" s="2">
        <v>45317</v>
      </c>
      <c r="C339" t="s">
        <v>35</v>
      </c>
      <c r="D339" t="s">
        <v>46</v>
      </c>
      <c r="E339" t="s">
        <v>30</v>
      </c>
      <c r="F339" t="s">
        <v>140</v>
      </c>
      <c r="G339">
        <v>15</v>
      </c>
      <c r="H339">
        <v>1700</v>
      </c>
    </row>
    <row r="340" spans="1:8">
      <c r="A340">
        <v>10035</v>
      </c>
      <c r="B340" s="1">
        <v>45332</v>
      </c>
      <c r="C340" t="s">
        <v>100</v>
      </c>
      <c r="D340" t="s">
        <v>16</v>
      </c>
      <c r="E340" t="s">
        <v>53</v>
      </c>
      <c r="F340" t="s">
        <v>72</v>
      </c>
      <c r="G340">
        <v>3</v>
      </c>
      <c r="H340">
        <v>950</v>
      </c>
    </row>
    <row r="341" spans="1:8">
      <c r="A341">
        <v>10005</v>
      </c>
      <c r="B341" t="s">
        <v>166</v>
      </c>
      <c r="C341" t="s">
        <v>101</v>
      </c>
      <c r="D341" t="s">
        <v>46</v>
      </c>
      <c r="E341" t="s">
        <v>30</v>
      </c>
      <c r="F341" t="s">
        <v>31</v>
      </c>
      <c r="G341">
        <v>20</v>
      </c>
      <c r="H341">
        <v>1650</v>
      </c>
    </row>
    <row r="342" spans="1:8">
      <c r="A342">
        <v>10336</v>
      </c>
      <c r="B342" t="s">
        <v>176</v>
      </c>
      <c r="C342" t="s">
        <v>74</v>
      </c>
      <c r="D342" t="s">
        <v>105</v>
      </c>
      <c r="E342" t="s">
        <v>17</v>
      </c>
      <c r="F342" t="s">
        <v>18</v>
      </c>
      <c r="G342">
        <v>5</v>
      </c>
      <c r="H342">
        <v>650</v>
      </c>
    </row>
    <row r="343" spans="1:8">
      <c r="A343">
        <v>10239</v>
      </c>
      <c r="B343" s="1">
        <v>45317</v>
      </c>
      <c r="C343" t="s">
        <v>35</v>
      </c>
      <c r="D343" t="s">
        <v>48</v>
      </c>
      <c r="E343" t="s">
        <v>90</v>
      </c>
      <c r="F343" t="s">
        <v>91</v>
      </c>
      <c r="G343">
        <v>10</v>
      </c>
      <c r="H343">
        <v>5200</v>
      </c>
    </row>
    <row r="344" spans="1:8">
      <c r="A344">
        <v>10028</v>
      </c>
      <c r="B344" s="1">
        <v>45379</v>
      </c>
      <c r="C344" t="s">
        <v>40</v>
      </c>
      <c r="D344" t="s">
        <v>14</v>
      </c>
      <c r="E344" t="s">
        <v>25</v>
      </c>
      <c r="F344" t="s">
        <v>75</v>
      </c>
      <c r="G344">
        <v>8</v>
      </c>
      <c r="H344">
        <v>370</v>
      </c>
    </row>
    <row r="345" spans="1:8">
      <c r="A345">
        <v>10139</v>
      </c>
      <c r="B345" s="1">
        <v>45319</v>
      </c>
      <c r="C345" t="s">
        <v>106</v>
      </c>
      <c r="D345" t="s">
        <v>139</v>
      </c>
      <c r="E345" t="s">
        <v>111</v>
      </c>
      <c r="F345" t="s">
        <v>112</v>
      </c>
      <c r="G345">
        <v>10</v>
      </c>
      <c r="H345">
        <v>1000</v>
      </c>
    </row>
    <row r="346" spans="1:8">
      <c r="A346">
        <v>10317</v>
      </c>
      <c r="B346" s="1">
        <v>45372</v>
      </c>
      <c r="C346" t="s">
        <v>8</v>
      </c>
      <c r="D346" t="s">
        <v>46</v>
      </c>
      <c r="E346" t="s">
        <v>93</v>
      </c>
      <c r="F346" t="s">
        <v>94</v>
      </c>
      <c r="G346">
        <v>20</v>
      </c>
      <c r="H346">
        <v>1200</v>
      </c>
    </row>
    <row r="347" spans="1:8">
      <c r="A347">
        <v>10103</v>
      </c>
      <c r="B347" s="1">
        <v>45302</v>
      </c>
      <c r="C347" t="s">
        <v>74</v>
      </c>
      <c r="D347" t="s">
        <v>109</v>
      </c>
      <c r="E347" t="s">
        <v>77</v>
      </c>
      <c r="F347" t="s">
        <v>78</v>
      </c>
      <c r="G347">
        <v>3</v>
      </c>
      <c r="H347">
        <v>1950</v>
      </c>
    </row>
    <row r="348" spans="1:8">
      <c r="A348">
        <v>10146</v>
      </c>
      <c r="B348" s="1">
        <v>45598</v>
      </c>
      <c r="C348" t="s">
        <v>15</v>
      </c>
      <c r="D348" t="s">
        <v>46</v>
      </c>
      <c r="E348" t="s">
        <v>21</v>
      </c>
      <c r="F348" t="s">
        <v>22</v>
      </c>
      <c r="G348">
        <v>3</v>
      </c>
      <c r="H348">
        <v>2400</v>
      </c>
    </row>
    <row r="349" spans="1:8">
      <c r="A349">
        <v>10031</v>
      </c>
      <c r="B349" s="1">
        <v>45376</v>
      </c>
      <c r="C349" t="s">
        <v>101</v>
      </c>
      <c r="D349" t="s">
        <v>24</v>
      </c>
      <c r="E349" t="s">
        <v>50</v>
      </c>
      <c r="F349" t="s">
        <v>51</v>
      </c>
      <c r="G349">
        <v>4</v>
      </c>
      <c r="H349">
        <v>1450</v>
      </c>
    </row>
    <row r="350" spans="1:8">
      <c r="A350">
        <v>10088</v>
      </c>
      <c r="B350" s="1">
        <v>45356</v>
      </c>
      <c r="C350" t="s">
        <v>59</v>
      </c>
      <c r="D350" t="s">
        <v>24</v>
      </c>
      <c r="E350" t="s">
        <v>50</v>
      </c>
      <c r="F350" t="s">
        <v>69</v>
      </c>
      <c r="G350">
        <v>8</v>
      </c>
      <c r="H350">
        <v>1400</v>
      </c>
    </row>
    <row r="351" spans="1:8">
      <c r="A351">
        <v>10131</v>
      </c>
      <c r="B351" s="1">
        <v>45342</v>
      </c>
      <c r="C351" t="s">
        <v>35</v>
      </c>
      <c r="D351" t="s">
        <v>68</v>
      </c>
      <c r="E351" t="s">
        <v>93</v>
      </c>
      <c r="F351" t="s">
        <v>94</v>
      </c>
      <c r="G351">
        <v>1</v>
      </c>
      <c r="H351">
        <v>1100</v>
      </c>
    </row>
    <row r="352" spans="1:8">
      <c r="A352">
        <v>10023</v>
      </c>
      <c r="B352" s="1">
        <v>45566</v>
      </c>
      <c r="C352" t="s">
        <v>40</v>
      </c>
      <c r="D352" t="s">
        <v>36</v>
      </c>
      <c r="E352" t="s">
        <v>111</v>
      </c>
      <c r="F352" t="s">
        <v>112</v>
      </c>
      <c r="G352">
        <v>1</v>
      </c>
      <c r="H352">
        <v>900</v>
      </c>
    </row>
    <row r="353" spans="1:8">
      <c r="A353">
        <v>10270</v>
      </c>
      <c r="B353" s="1">
        <v>45295</v>
      </c>
      <c r="C353" t="s">
        <v>19</v>
      </c>
      <c r="D353" t="s">
        <v>88</v>
      </c>
      <c r="E353" t="s">
        <v>111</v>
      </c>
      <c r="F353" t="s">
        <v>112</v>
      </c>
      <c r="G353">
        <v>12</v>
      </c>
      <c r="H353">
        <v>950</v>
      </c>
    </row>
    <row r="354" spans="1:8">
      <c r="A354">
        <v>10340</v>
      </c>
      <c r="B354" s="1">
        <v>45348</v>
      </c>
      <c r="C354" t="s">
        <v>74</v>
      </c>
      <c r="D354" t="s">
        <v>14</v>
      </c>
      <c r="E354" t="s">
        <v>77</v>
      </c>
      <c r="F354" t="s">
        <v>78</v>
      </c>
      <c r="G354">
        <v>20</v>
      </c>
      <c r="H354">
        <v>1850</v>
      </c>
    </row>
    <row r="355" spans="1:8">
      <c r="A355">
        <v>10299</v>
      </c>
      <c r="B355" t="s">
        <v>182</v>
      </c>
      <c r="C355" t="s">
        <v>41</v>
      </c>
      <c r="D355" t="s">
        <v>16</v>
      </c>
      <c r="E355" t="s">
        <v>111</v>
      </c>
      <c r="F355" t="s">
        <v>112</v>
      </c>
      <c r="G355">
        <v>2</v>
      </c>
      <c r="H355">
        <v>1000</v>
      </c>
    </row>
    <row r="356" spans="1:8">
      <c r="A356">
        <v>10193</v>
      </c>
      <c r="B356" s="1">
        <v>45360</v>
      </c>
      <c r="C356" t="s">
        <v>23</v>
      </c>
      <c r="D356" t="s">
        <v>48</v>
      </c>
      <c r="E356" t="s">
        <v>90</v>
      </c>
      <c r="F356" t="s">
        <v>144</v>
      </c>
      <c r="G356">
        <v>20</v>
      </c>
      <c r="H356">
        <v>5150</v>
      </c>
    </row>
    <row r="357" spans="1:8">
      <c r="A357">
        <v>10010</v>
      </c>
      <c r="B357" s="2">
        <v>45372</v>
      </c>
      <c r="C357" t="s">
        <v>92</v>
      </c>
      <c r="D357" t="s">
        <v>42</v>
      </c>
      <c r="E357" t="s">
        <v>53</v>
      </c>
      <c r="F357" t="s">
        <v>72</v>
      </c>
      <c r="G357">
        <v>6</v>
      </c>
      <c r="H357">
        <v>950</v>
      </c>
    </row>
    <row r="358" spans="1:8">
      <c r="A358">
        <v>10157</v>
      </c>
      <c r="B358" s="1">
        <v>45304</v>
      </c>
      <c r="C358" t="s">
        <v>19</v>
      </c>
      <c r="D358" t="s">
        <v>62</v>
      </c>
      <c r="E358" t="s">
        <v>77</v>
      </c>
      <c r="F358" t="s">
        <v>78</v>
      </c>
      <c r="G358">
        <v>4</v>
      </c>
      <c r="H358">
        <v>1950</v>
      </c>
    </row>
    <row r="359" spans="1:8">
      <c r="A359">
        <v>10248</v>
      </c>
      <c r="B359" s="1">
        <v>45306</v>
      </c>
      <c r="C359" t="s">
        <v>74</v>
      </c>
      <c r="D359" t="s">
        <v>62</v>
      </c>
      <c r="E359" t="s">
        <v>17</v>
      </c>
      <c r="F359" t="s">
        <v>18</v>
      </c>
      <c r="G359">
        <v>3</v>
      </c>
      <c r="H359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6FD2-0499-4A32-BEF8-D8B76E69EF2F}">
  <dimension ref="A1:W341"/>
  <sheetViews>
    <sheetView workbookViewId="0">
      <selection activeCellId="2" sqref="A2:W341 C1:W1 A1"/>
    </sheetView>
  </sheetViews>
  <sheetFormatPr defaultRowHeight="15"/>
  <cols>
    <col min="1" max="1" width="11" bestFit="1" customWidth="1"/>
    <col min="2" max="2" width="13.28515625" bestFit="1" customWidth="1"/>
    <col min="3" max="3" width="21.28515625" bestFit="1" customWidth="1"/>
    <col min="4" max="4" width="10.85546875" bestFit="1" customWidth="1"/>
    <col min="5" max="5" width="17.42578125" bestFit="1" customWidth="1"/>
    <col min="6" max="6" width="15.85546875" bestFit="1" customWidth="1"/>
    <col min="7" max="7" width="19.85546875" bestFit="1" customWidth="1"/>
    <col min="8" max="8" width="12.85546875" bestFit="1" customWidth="1"/>
    <col min="9" max="9" width="28.140625" bestFit="1" customWidth="1"/>
    <col min="10" max="10" width="25.140625" bestFit="1" customWidth="1"/>
    <col min="11" max="11" width="11.28515625" bestFit="1" customWidth="1"/>
    <col min="12" max="12" width="19.140625" bestFit="1" customWidth="1"/>
    <col min="13" max="13" width="17.28515625" bestFit="1" customWidth="1"/>
    <col min="14" max="14" width="25.28515625" bestFit="1" customWidth="1"/>
    <col min="15" max="16" width="19.85546875" bestFit="1" customWidth="1"/>
    <col min="17" max="17" width="11.5703125" bestFit="1" customWidth="1"/>
    <col min="18" max="18" width="12" bestFit="1" customWidth="1"/>
    <col min="19" max="19" width="11.140625" bestFit="1" customWidth="1"/>
    <col min="22" max="22" width="11.85546875" style="3" bestFit="1" customWidth="1"/>
    <col min="23" max="23" width="9.42578125" bestFit="1" customWidth="1"/>
  </cols>
  <sheetData>
    <row r="1" spans="1:23">
      <c r="A1" t="s">
        <v>0</v>
      </c>
      <c r="B1" t="s">
        <v>1</v>
      </c>
      <c r="C1" t="s">
        <v>183</v>
      </c>
      <c r="D1" t="s">
        <v>2</v>
      </c>
      <c r="E1" t="s">
        <v>184</v>
      </c>
      <c r="F1" t="s">
        <v>3</v>
      </c>
      <c r="G1" t="s">
        <v>185</v>
      </c>
      <c r="H1" t="s">
        <v>4</v>
      </c>
      <c r="I1" t="s">
        <v>5</v>
      </c>
      <c r="J1" t="s">
        <v>186</v>
      </c>
      <c r="K1" t="s">
        <v>6</v>
      </c>
      <c r="L1" t="s">
        <v>187</v>
      </c>
      <c r="M1" t="s">
        <v>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  <c r="V1" s="3" t="s">
        <v>196</v>
      </c>
      <c r="W1" t="s">
        <v>197</v>
      </c>
    </row>
    <row r="2" spans="1:23">
      <c r="A2">
        <v>10008</v>
      </c>
      <c r="B2" s="1">
        <v>45306</v>
      </c>
      <c r="C2">
        <v>45306</v>
      </c>
      <c r="D2" t="s">
        <v>8</v>
      </c>
      <c r="E2" t="str">
        <f>PROPER(TRIM(D2))</f>
        <v>Mombasa</v>
      </c>
      <c r="F2" t="s">
        <v>9</v>
      </c>
      <c r="G2" t="str">
        <f>PROPER(TRIM(F2))</f>
        <v>Peter Otieno</v>
      </c>
      <c r="H2" t="s">
        <v>10</v>
      </c>
      <c r="I2" t="s">
        <v>11</v>
      </c>
      <c r="J2" t="str">
        <f>PROPER(TRIM(I2))</f>
        <v>Kitchen Knife Set</v>
      </c>
      <c r="K2">
        <v>20</v>
      </c>
      <c r="L2">
        <f>IF(K2="",0,K2)</f>
        <v>20</v>
      </c>
      <c r="M2">
        <v>1350</v>
      </c>
      <c r="N2">
        <f>IF(M2="",0,M2)</f>
        <v>1350</v>
      </c>
      <c r="O2" t="str">
        <f>IF(L2&lt;0,"NEGATIVE QUANTITY","")</f>
        <v/>
      </c>
      <c r="P2">
        <f t="shared" ref="P2:P65" si="0">ABS(L2)</f>
        <v>20</v>
      </c>
      <c r="Q2">
        <f>VLOOKUP(H2,'Product Cost Lookup'!A:D,4,FALSE)</f>
        <v>800</v>
      </c>
      <c r="R2" t="str">
        <f>VLOOKUP(H2,'Product Cost Lookup'!A:D,3,FALSE)</f>
        <v>Kitchenware</v>
      </c>
      <c r="S2">
        <f t="shared" ref="S2:S65" si="1">P2*N2</f>
        <v>27000</v>
      </c>
      <c r="T2">
        <f>P2*Q2</f>
        <v>16000</v>
      </c>
      <c r="U2">
        <f>S2-T2</f>
        <v>11000</v>
      </c>
      <c r="V2" s="3">
        <f>IF(S2=0,0,U2/S2)</f>
        <v>0.40740740740740738</v>
      </c>
      <c r="W2" t="str">
        <f>TEXT(C2,"mmm")</f>
        <v>Jan</v>
      </c>
    </row>
    <row r="3" spans="1:23">
      <c r="A3">
        <v>10300</v>
      </c>
      <c r="B3" s="1">
        <v>45364</v>
      </c>
      <c r="C3">
        <v>45364</v>
      </c>
      <c r="D3" t="s">
        <v>13</v>
      </c>
      <c r="E3" t="str">
        <f>PROPER(TRIM(D3))</f>
        <v>Nakuru</v>
      </c>
      <c r="F3" t="s">
        <v>14</v>
      </c>
      <c r="G3" t="str">
        <f>PROPER(TRIM(F3))</f>
        <v>Faith Wanjiru</v>
      </c>
      <c r="H3" t="s">
        <v>10</v>
      </c>
      <c r="I3" t="s">
        <v>11</v>
      </c>
      <c r="J3" t="str">
        <f>PROPER(TRIM(I3))</f>
        <v>Kitchen Knife Set</v>
      </c>
      <c r="K3">
        <v>6</v>
      </c>
      <c r="L3">
        <f>IF(K3="",0,K3)</f>
        <v>6</v>
      </c>
      <c r="M3">
        <v>1350</v>
      </c>
      <c r="N3">
        <f>IF(M3="",0,M3)</f>
        <v>1350</v>
      </c>
      <c r="O3" t="str">
        <f>IF(L3&lt;0,"NEGATIVE QUANTITY","")</f>
        <v/>
      </c>
      <c r="P3">
        <f t="shared" si="0"/>
        <v>6</v>
      </c>
      <c r="Q3">
        <f>VLOOKUP(H3,'Product Cost Lookup'!A:D,4,FALSE)</f>
        <v>800</v>
      </c>
      <c r="R3" t="str">
        <f>VLOOKUP(H3,'Product Cost Lookup'!A:D,3,FALSE)</f>
        <v>Kitchenware</v>
      </c>
      <c r="S3">
        <f>P3*N3</f>
        <v>8100</v>
      </c>
      <c r="T3">
        <f>P3*Q3</f>
        <v>4800</v>
      </c>
      <c r="U3">
        <f t="shared" ref="U3:U66" si="2">S3-T3</f>
        <v>3300</v>
      </c>
      <c r="V3" s="3">
        <f t="shared" ref="V3:V66" si="3">IF(S3=0,0,U3/S3)</f>
        <v>0.40740740740740738</v>
      </c>
      <c r="W3" t="str">
        <f t="shared" ref="W3:W66" si="4">TEXT(C3,"mmm")</f>
        <v>Mar</v>
      </c>
    </row>
    <row r="4" spans="1:23">
      <c r="A4">
        <v>10328</v>
      </c>
      <c r="B4" s="2">
        <v>45338</v>
      </c>
      <c r="C4">
        <v>45338</v>
      </c>
      <c r="D4" t="s">
        <v>15</v>
      </c>
      <c r="E4" t="str">
        <f>PROPER(TRIM(D4))</f>
        <v>Mombasa</v>
      </c>
      <c r="F4" t="s">
        <v>16</v>
      </c>
      <c r="G4" t="str">
        <f>PROPER(TRIM(F4))</f>
        <v>Grace Achieng</v>
      </c>
      <c r="H4" t="s">
        <v>17</v>
      </c>
      <c r="I4" t="s">
        <v>18</v>
      </c>
      <c r="J4" t="str">
        <f>PROPER(TRIM(I4))</f>
        <v>20L Jerrycan - Blue</v>
      </c>
      <c r="K4">
        <v>4</v>
      </c>
      <c r="L4">
        <f>IF(K4="",0,K4)</f>
        <v>4</v>
      </c>
      <c r="M4">
        <v>600</v>
      </c>
      <c r="N4">
        <f>IF(M4="",0,M4)</f>
        <v>600</v>
      </c>
      <c r="O4" t="str">
        <f>IF(L4&lt;0,"NEGATIVE QUANTITY","")</f>
        <v/>
      </c>
      <c r="P4">
        <f t="shared" si="0"/>
        <v>4</v>
      </c>
      <c r="Q4">
        <f>VLOOKUP(H4,'Product Cost Lookup'!A:D,4,FALSE)</f>
        <v>350</v>
      </c>
      <c r="R4" t="str">
        <f>VLOOKUP(H4,'Product Cost Lookup'!A:D,3,FALSE)</f>
        <v>Household</v>
      </c>
      <c r="S4">
        <f>P4*N4</f>
        <v>2400</v>
      </c>
      <c r="T4">
        <f t="shared" ref="T2:T65" si="5">P4*Q4</f>
        <v>1400</v>
      </c>
      <c r="U4">
        <f t="shared" si="2"/>
        <v>1000</v>
      </c>
      <c r="V4" s="3">
        <f t="shared" si="3"/>
        <v>0.41666666666666669</v>
      </c>
      <c r="W4" t="str">
        <f t="shared" si="4"/>
        <v>Feb</v>
      </c>
    </row>
    <row r="5" spans="1:23">
      <c r="A5">
        <v>10216</v>
      </c>
      <c r="B5" s="1">
        <v>45373</v>
      </c>
      <c r="C5">
        <v>45373</v>
      </c>
      <c r="D5" t="s">
        <v>19</v>
      </c>
      <c r="E5" t="str">
        <f>PROPER(TRIM(D5))</f>
        <v>Eldoret</v>
      </c>
      <c r="F5" t="s">
        <v>20</v>
      </c>
      <c r="G5" t="str">
        <f>PROPER(TRIM(F5))</f>
        <v>Grace Achieng</v>
      </c>
      <c r="H5" t="s">
        <v>21</v>
      </c>
      <c r="I5" t="s">
        <v>22</v>
      </c>
      <c r="J5" t="str">
        <f>PROPER(TRIM(I5))</f>
        <v>Water Dispenser Stand</v>
      </c>
      <c r="K5">
        <v>10</v>
      </c>
      <c r="L5">
        <f>IF(K5="",0,K5)</f>
        <v>10</v>
      </c>
      <c r="M5">
        <v>2300</v>
      </c>
      <c r="N5">
        <f>IF(M5="",0,M5)</f>
        <v>2300</v>
      </c>
      <c r="O5" t="str">
        <f>IF(L5&lt;0,"NEGATIVE QUANTITY","")</f>
        <v/>
      </c>
      <c r="P5">
        <f t="shared" si="0"/>
        <v>10</v>
      </c>
      <c r="Q5">
        <f>VLOOKUP(H5,'Product Cost Lookup'!A:D,4,FALSE)</f>
        <v>1500</v>
      </c>
      <c r="R5" t="str">
        <f>VLOOKUP(H5,'Product Cost Lookup'!A:D,3,FALSE)</f>
        <v>Household</v>
      </c>
      <c r="S5">
        <f t="shared" si="1"/>
        <v>23000</v>
      </c>
      <c r="T5">
        <f t="shared" si="5"/>
        <v>15000</v>
      </c>
      <c r="U5">
        <f t="shared" si="2"/>
        <v>8000</v>
      </c>
      <c r="V5" s="3">
        <f t="shared" si="3"/>
        <v>0.34782608695652173</v>
      </c>
      <c r="W5" t="str">
        <f t="shared" si="4"/>
        <v>Mar</v>
      </c>
    </row>
    <row r="6" spans="1:23">
      <c r="A6">
        <v>10065</v>
      </c>
      <c r="B6" s="1">
        <v>45505</v>
      </c>
      <c r="C6">
        <v>45505</v>
      </c>
      <c r="D6" t="s">
        <v>23</v>
      </c>
      <c r="E6" t="str">
        <f>PROPER(TRIM(D6))</f>
        <v>Kisumu</v>
      </c>
      <c r="F6" t="s">
        <v>24</v>
      </c>
      <c r="G6" t="str">
        <f>PROPER(TRIM(F6))</f>
        <v>Mercy Njeri</v>
      </c>
      <c r="H6" t="s">
        <v>25</v>
      </c>
      <c r="I6" t="s">
        <v>26</v>
      </c>
      <c r="J6" t="str">
        <f>PROPER(TRIM(I6))</f>
        <v>Plastic Storage Basket L</v>
      </c>
      <c r="K6">
        <v>8</v>
      </c>
      <c r="L6">
        <f>IF(K6="",0,K6)</f>
        <v>8</v>
      </c>
      <c r="M6">
        <v>420</v>
      </c>
      <c r="N6">
        <f>IF(M6="",0,M6)</f>
        <v>420</v>
      </c>
      <c r="O6" t="str">
        <f>IF(L6&lt;0,"NEGATIVE QUANTITY","")</f>
        <v/>
      </c>
      <c r="P6">
        <f t="shared" si="0"/>
        <v>8</v>
      </c>
      <c r="Q6">
        <f>VLOOKUP(H6,'Product Cost Lookup'!A:D,4,FALSE)</f>
        <v>250</v>
      </c>
      <c r="R6" t="str">
        <f>VLOOKUP(H6,'Product Cost Lookup'!A:D,3,FALSE)</f>
        <v>Household</v>
      </c>
      <c r="S6">
        <f t="shared" si="1"/>
        <v>3360</v>
      </c>
      <c r="T6">
        <f t="shared" si="5"/>
        <v>2000</v>
      </c>
      <c r="U6">
        <f t="shared" si="2"/>
        <v>1360</v>
      </c>
      <c r="V6" s="3">
        <f t="shared" si="3"/>
        <v>0.40476190476190477</v>
      </c>
      <c r="W6" t="str">
        <f t="shared" si="4"/>
        <v>Aug</v>
      </c>
    </row>
    <row r="7" spans="1:23">
      <c r="A7">
        <v>10222</v>
      </c>
      <c r="B7" s="2">
        <v>45339</v>
      </c>
      <c r="C7">
        <v>45339</v>
      </c>
      <c r="D7" t="s">
        <v>15</v>
      </c>
      <c r="E7" t="str">
        <f>PROPER(TRIM(D7))</f>
        <v>Mombasa</v>
      </c>
      <c r="F7" t="s">
        <v>27</v>
      </c>
      <c r="G7" t="str">
        <f>PROPER(TRIM(F7))</f>
        <v>Aisha Hassan</v>
      </c>
      <c r="H7" t="s">
        <v>17</v>
      </c>
      <c r="I7" t="s">
        <v>18</v>
      </c>
      <c r="J7" t="str">
        <f>PROPER(TRIM(I7))</f>
        <v>20L Jerrycan - Blue</v>
      </c>
      <c r="K7">
        <v>5</v>
      </c>
      <c r="L7">
        <f>IF(K7="",0,K7)</f>
        <v>5</v>
      </c>
      <c r="M7">
        <v>600</v>
      </c>
      <c r="N7">
        <f>IF(M7="",0,M7)</f>
        <v>600</v>
      </c>
      <c r="O7" t="str">
        <f>IF(L7&lt;0,"NEGATIVE QUANTITY","")</f>
        <v/>
      </c>
      <c r="P7">
        <f t="shared" si="0"/>
        <v>5</v>
      </c>
      <c r="Q7">
        <f>VLOOKUP(H7,'Product Cost Lookup'!A:D,4,FALSE)</f>
        <v>350</v>
      </c>
      <c r="R7" t="str">
        <f>VLOOKUP(H7,'Product Cost Lookup'!A:D,3,FALSE)</f>
        <v>Household</v>
      </c>
      <c r="S7">
        <f t="shared" si="1"/>
        <v>3000</v>
      </c>
      <c r="T7">
        <f t="shared" si="5"/>
        <v>1750</v>
      </c>
      <c r="U7">
        <f t="shared" si="2"/>
        <v>1250</v>
      </c>
      <c r="V7" s="3">
        <f t="shared" si="3"/>
        <v>0.41666666666666669</v>
      </c>
      <c r="W7" t="str">
        <f t="shared" si="4"/>
        <v>Feb</v>
      </c>
    </row>
    <row r="8" spans="1:23">
      <c r="A8">
        <v>10140</v>
      </c>
      <c r="B8" s="1">
        <v>45306</v>
      </c>
      <c r="C8">
        <v>45306</v>
      </c>
      <c r="D8" t="s">
        <v>29</v>
      </c>
      <c r="E8" t="str">
        <f>PROPER(TRIM(D8))</f>
        <v>Thika</v>
      </c>
      <c r="F8" t="s">
        <v>14</v>
      </c>
      <c r="G8" t="str">
        <f>PROPER(TRIM(F8))</f>
        <v>Faith Wanjiru</v>
      </c>
      <c r="H8" t="s">
        <v>30</v>
      </c>
      <c r="I8" t="s">
        <v>31</v>
      </c>
      <c r="J8" t="str">
        <f>PROPER(TRIM(I8))</f>
        <v>Garden Hose 20M</v>
      </c>
      <c r="K8">
        <v>15</v>
      </c>
      <c r="L8">
        <f>IF(K8="",0,K8)</f>
        <v>15</v>
      </c>
      <c r="M8">
        <v>1750</v>
      </c>
      <c r="N8">
        <f>IF(M8="",0,M8)</f>
        <v>1750</v>
      </c>
      <c r="O8" t="str">
        <f>IF(L8&lt;0,"NEGATIVE QUANTITY","")</f>
        <v/>
      </c>
      <c r="P8">
        <f t="shared" si="0"/>
        <v>15</v>
      </c>
      <c r="Q8">
        <f>VLOOKUP(H8,'Product Cost Lookup'!A:D,4,FALSE)</f>
        <v>1100</v>
      </c>
      <c r="R8" t="str">
        <f>VLOOKUP(H8,'Product Cost Lookup'!A:D,3,FALSE)</f>
        <v>Hardware</v>
      </c>
      <c r="S8">
        <f t="shared" si="1"/>
        <v>26250</v>
      </c>
      <c r="T8">
        <f t="shared" si="5"/>
        <v>16500</v>
      </c>
      <c r="U8">
        <f t="shared" si="2"/>
        <v>9750</v>
      </c>
      <c r="V8" s="3">
        <f t="shared" si="3"/>
        <v>0.37142857142857144</v>
      </c>
      <c r="W8" t="str">
        <f t="shared" si="4"/>
        <v>Jan</v>
      </c>
    </row>
    <row r="9" spans="1:23">
      <c r="A9">
        <v>10268</v>
      </c>
      <c r="B9" s="1">
        <v>45336</v>
      </c>
      <c r="C9">
        <v>45336</v>
      </c>
      <c r="D9" t="s">
        <v>15</v>
      </c>
      <c r="E9" t="str">
        <f>PROPER(TRIM(D9))</f>
        <v>Mombasa</v>
      </c>
      <c r="F9" t="s">
        <v>14</v>
      </c>
      <c r="G9" t="str">
        <f>PROPER(TRIM(F9))</f>
        <v>Faith Wanjiru</v>
      </c>
      <c r="H9" t="s">
        <v>33</v>
      </c>
      <c r="I9" t="s">
        <v>34</v>
      </c>
      <c r="J9" t="str">
        <f>PROPER(TRIM(I9))</f>
        <v>Padlock Set (3Pc)</v>
      </c>
      <c r="K9">
        <v>6</v>
      </c>
      <c r="L9">
        <f>IF(K9="",0,K9)</f>
        <v>6</v>
      </c>
      <c r="M9">
        <v>700</v>
      </c>
      <c r="N9">
        <f>IF(M9="",0,M9)</f>
        <v>700</v>
      </c>
      <c r="O9" t="str">
        <f>IF(L9&lt;0,"NEGATIVE QUANTITY","")</f>
        <v/>
      </c>
      <c r="P9">
        <f t="shared" si="0"/>
        <v>6</v>
      </c>
      <c r="Q9">
        <f>VLOOKUP(H9,'Product Cost Lookup'!A:D,4,FALSE)</f>
        <v>450</v>
      </c>
      <c r="R9" t="str">
        <f>VLOOKUP(H9,'Product Cost Lookup'!A:D,3,FALSE)</f>
        <v>Hardware</v>
      </c>
      <c r="S9">
        <f t="shared" si="1"/>
        <v>4200</v>
      </c>
      <c r="T9">
        <f t="shared" si="5"/>
        <v>2700</v>
      </c>
      <c r="U9">
        <f t="shared" si="2"/>
        <v>1500</v>
      </c>
      <c r="V9" s="3">
        <f t="shared" si="3"/>
        <v>0.35714285714285715</v>
      </c>
      <c r="W9" t="str">
        <f t="shared" si="4"/>
        <v>Feb</v>
      </c>
    </row>
    <row r="10" spans="1:23">
      <c r="A10">
        <v>10025</v>
      </c>
      <c r="B10" s="1">
        <v>45323</v>
      </c>
      <c r="C10">
        <v>45323</v>
      </c>
      <c r="D10" t="s">
        <v>35</v>
      </c>
      <c r="E10" t="str">
        <f>PROPER(TRIM(D10))</f>
        <v>Kisumu</v>
      </c>
      <c r="F10" t="s">
        <v>36</v>
      </c>
      <c r="G10" t="str">
        <f>PROPER(TRIM(F10))</f>
        <v>Peter Otieno</v>
      </c>
      <c r="H10" t="s">
        <v>10</v>
      </c>
      <c r="I10" t="s">
        <v>11</v>
      </c>
      <c r="J10" t="str">
        <f>PROPER(TRIM(I10))</f>
        <v>Kitchen Knife Set</v>
      </c>
      <c r="K10">
        <v>2</v>
      </c>
      <c r="L10">
        <f>IF(K10="",0,K10)</f>
        <v>2</v>
      </c>
      <c r="M10">
        <v>1350</v>
      </c>
      <c r="N10">
        <f>IF(M10="",0,M10)</f>
        <v>1350</v>
      </c>
      <c r="O10" t="str">
        <f>IF(L10&lt;0,"NEGATIVE QUANTITY","")</f>
        <v/>
      </c>
      <c r="P10">
        <f t="shared" si="0"/>
        <v>2</v>
      </c>
      <c r="Q10">
        <f>VLOOKUP(H10,'Product Cost Lookup'!A:D,4,FALSE)</f>
        <v>800</v>
      </c>
      <c r="R10" t="str">
        <f>VLOOKUP(H10,'Product Cost Lookup'!A:D,3,FALSE)</f>
        <v>Kitchenware</v>
      </c>
      <c r="S10">
        <f t="shared" si="1"/>
        <v>2700</v>
      </c>
      <c r="T10">
        <f t="shared" si="5"/>
        <v>1600</v>
      </c>
      <c r="U10">
        <f t="shared" si="2"/>
        <v>1100</v>
      </c>
      <c r="V10" s="3">
        <f t="shared" si="3"/>
        <v>0.40740740740740738</v>
      </c>
      <c r="W10" t="str">
        <f t="shared" si="4"/>
        <v>Feb</v>
      </c>
    </row>
    <row r="11" spans="1:23">
      <c r="A11">
        <v>10205</v>
      </c>
      <c r="B11" s="1">
        <v>45599</v>
      </c>
      <c r="C11">
        <v>45599</v>
      </c>
      <c r="D11" t="s">
        <v>37</v>
      </c>
      <c r="E11" t="str">
        <f>PROPER(TRIM(D11))</f>
        <v>Mombasa</v>
      </c>
      <c r="F11" t="s">
        <v>16</v>
      </c>
      <c r="G11" t="str">
        <f>PROPER(TRIM(F11))</f>
        <v>Grace Achieng</v>
      </c>
      <c r="H11" t="s">
        <v>38</v>
      </c>
      <c r="I11" t="s">
        <v>39</v>
      </c>
      <c r="J11" t="str">
        <f>PROPER(TRIM(I11))</f>
        <v>Usb Wall Charger Uc-5</v>
      </c>
      <c r="K11">
        <v>2</v>
      </c>
      <c r="L11">
        <f>IF(K11="",0,K11)</f>
        <v>2</v>
      </c>
      <c r="M11">
        <v>500</v>
      </c>
      <c r="N11">
        <f>IF(M11="",0,M11)</f>
        <v>500</v>
      </c>
      <c r="O11" t="str">
        <f>IF(L11&lt;0,"NEGATIVE QUANTITY","")</f>
        <v/>
      </c>
      <c r="P11">
        <f t="shared" si="0"/>
        <v>2</v>
      </c>
      <c r="Q11">
        <f>VLOOKUP(H11,'Product Cost Lookup'!A:D,4,FALSE)</f>
        <v>300</v>
      </c>
      <c r="R11" t="str">
        <f>VLOOKUP(H11,'Product Cost Lookup'!A:D,3,FALSE)</f>
        <v>Electronics</v>
      </c>
      <c r="S11">
        <f t="shared" si="1"/>
        <v>1000</v>
      </c>
      <c r="T11">
        <f t="shared" si="5"/>
        <v>600</v>
      </c>
      <c r="U11">
        <f t="shared" si="2"/>
        <v>400</v>
      </c>
      <c r="V11" s="3">
        <f t="shared" si="3"/>
        <v>0.4</v>
      </c>
      <c r="W11" t="str">
        <f t="shared" si="4"/>
        <v>Nov</v>
      </c>
    </row>
    <row r="12" spans="1:23">
      <c r="A12">
        <v>10188</v>
      </c>
      <c r="B12" s="1">
        <v>45370</v>
      </c>
      <c r="C12">
        <v>45370</v>
      </c>
      <c r="D12" t="s">
        <v>40</v>
      </c>
      <c r="E12" t="str">
        <f>PROPER(TRIM(D12))</f>
        <v>Thika</v>
      </c>
      <c r="F12" t="s">
        <v>9</v>
      </c>
      <c r="G12" t="str">
        <f>PROPER(TRIM(F12))</f>
        <v>Peter Otieno</v>
      </c>
      <c r="H12" t="s">
        <v>38</v>
      </c>
      <c r="I12" t="s">
        <v>39</v>
      </c>
      <c r="J12" t="str">
        <f>PROPER(TRIM(I12))</f>
        <v>Usb Wall Charger Uc-5</v>
      </c>
      <c r="K12">
        <v>6</v>
      </c>
      <c r="L12">
        <f>IF(K12="",0,K12)</f>
        <v>6</v>
      </c>
      <c r="M12">
        <v>500</v>
      </c>
      <c r="N12">
        <f>IF(M12="",0,M12)</f>
        <v>500</v>
      </c>
      <c r="O12" t="str">
        <f>IF(L12&lt;0,"NEGATIVE QUANTITY","")</f>
        <v/>
      </c>
      <c r="P12">
        <f t="shared" si="0"/>
        <v>6</v>
      </c>
      <c r="Q12">
        <f>VLOOKUP(H12,'Product Cost Lookup'!A:D,4,FALSE)</f>
        <v>300</v>
      </c>
      <c r="R12" t="str">
        <f>VLOOKUP(H12,'Product Cost Lookup'!A:D,3,FALSE)</f>
        <v>Electronics</v>
      </c>
      <c r="S12">
        <f t="shared" si="1"/>
        <v>3000</v>
      </c>
      <c r="T12">
        <f t="shared" si="5"/>
        <v>1800</v>
      </c>
      <c r="U12">
        <f t="shared" si="2"/>
        <v>1200</v>
      </c>
      <c r="V12" s="3">
        <f t="shared" si="3"/>
        <v>0.4</v>
      </c>
      <c r="W12" t="str">
        <f t="shared" si="4"/>
        <v>Mar</v>
      </c>
    </row>
    <row r="13" spans="1:23">
      <c r="A13">
        <v>10152</v>
      </c>
      <c r="B13" s="1">
        <v>45321</v>
      </c>
      <c r="C13">
        <v>45321</v>
      </c>
      <c r="D13" t="s">
        <v>41</v>
      </c>
      <c r="E13" t="str">
        <f>PROPER(TRIM(D13))</f>
        <v>Nakuru</v>
      </c>
      <c r="F13" t="s">
        <v>42</v>
      </c>
      <c r="G13" t="str">
        <f>PROPER(TRIM(F13))</f>
        <v>Faith Wanjiru</v>
      </c>
      <c r="H13" t="s">
        <v>38</v>
      </c>
      <c r="I13" t="s">
        <v>39</v>
      </c>
      <c r="J13" t="str">
        <f>PROPER(TRIM(I13))</f>
        <v>Usb Wall Charger Uc-5</v>
      </c>
      <c r="K13">
        <v>12</v>
      </c>
      <c r="L13">
        <f>IF(K13="",0,K13)</f>
        <v>12</v>
      </c>
      <c r="M13">
        <v>500</v>
      </c>
      <c r="N13">
        <f>IF(M13="",0,M13)</f>
        <v>500</v>
      </c>
      <c r="O13" t="str">
        <f>IF(L13&lt;0,"NEGATIVE QUANTITY","")</f>
        <v/>
      </c>
      <c r="P13">
        <f t="shared" si="0"/>
        <v>12</v>
      </c>
      <c r="Q13">
        <f>VLOOKUP(H13,'Product Cost Lookup'!A:D,4,FALSE)</f>
        <v>300</v>
      </c>
      <c r="R13" t="str">
        <f>VLOOKUP(H13,'Product Cost Lookup'!A:D,3,FALSE)</f>
        <v>Electronics</v>
      </c>
      <c r="S13">
        <f t="shared" si="1"/>
        <v>6000</v>
      </c>
      <c r="T13">
        <f t="shared" si="5"/>
        <v>3600</v>
      </c>
      <c r="U13">
        <f t="shared" si="2"/>
        <v>2400</v>
      </c>
      <c r="V13" s="3">
        <f t="shared" si="3"/>
        <v>0.4</v>
      </c>
      <c r="W13" t="str">
        <f t="shared" si="4"/>
        <v>Jan</v>
      </c>
    </row>
    <row r="14" spans="1:23">
      <c r="A14">
        <v>10137</v>
      </c>
      <c r="B14" s="1">
        <v>45325</v>
      </c>
      <c r="C14">
        <v>45325</v>
      </c>
      <c r="D14" t="s">
        <v>41</v>
      </c>
      <c r="E14" t="str">
        <f>PROPER(TRIM(D14))</f>
        <v>Nakuru</v>
      </c>
      <c r="F14" t="s">
        <v>14</v>
      </c>
      <c r="G14" t="str">
        <f>PROPER(TRIM(F14))</f>
        <v>Faith Wanjiru</v>
      </c>
      <c r="H14" t="s">
        <v>38</v>
      </c>
      <c r="I14" t="s">
        <v>39</v>
      </c>
      <c r="J14" t="str">
        <f>PROPER(TRIM(I14))</f>
        <v>Usb Wall Charger Uc-5</v>
      </c>
      <c r="K14">
        <v>-5</v>
      </c>
      <c r="L14">
        <f>IF(K14="",0,K14)</f>
        <v>-5</v>
      </c>
      <c r="M14">
        <v>500</v>
      </c>
      <c r="N14">
        <f>IF(M14="",0,M14)</f>
        <v>500</v>
      </c>
      <c r="O14" t="str">
        <f>IF(L14&lt;0,"NEGATIVE QUANTITY","")</f>
        <v>NEGATIVE QUANTITY</v>
      </c>
      <c r="P14">
        <f t="shared" si="0"/>
        <v>5</v>
      </c>
      <c r="Q14">
        <f>VLOOKUP(H14,'Product Cost Lookup'!A:D,4,FALSE)</f>
        <v>300</v>
      </c>
      <c r="R14" t="str">
        <f>VLOOKUP(H14,'Product Cost Lookup'!A:D,3,FALSE)</f>
        <v>Electronics</v>
      </c>
      <c r="S14">
        <f t="shared" si="1"/>
        <v>2500</v>
      </c>
      <c r="T14">
        <f t="shared" si="5"/>
        <v>1500</v>
      </c>
      <c r="U14">
        <f t="shared" si="2"/>
        <v>1000</v>
      </c>
      <c r="V14" s="3">
        <f t="shared" si="3"/>
        <v>0.4</v>
      </c>
      <c r="W14" t="str">
        <f t="shared" si="4"/>
        <v>Feb</v>
      </c>
    </row>
    <row r="15" spans="1:23">
      <c r="A15">
        <v>10107</v>
      </c>
      <c r="B15" s="1">
        <v>45296</v>
      </c>
      <c r="C15">
        <v>45296</v>
      </c>
      <c r="D15" t="s">
        <v>35</v>
      </c>
      <c r="E15" t="str">
        <f>PROPER(TRIM(D15))</f>
        <v>Kisumu</v>
      </c>
      <c r="F15" t="s">
        <v>43</v>
      </c>
      <c r="G15" t="str">
        <f>PROPER(TRIM(F15))</f>
        <v>Faith Wanjiru</v>
      </c>
      <c r="H15" t="s">
        <v>17</v>
      </c>
      <c r="I15" t="s">
        <v>44</v>
      </c>
      <c r="J15" t="str">
        <f>PROPER(TRIM(I15))</f>
        <v>20L Jerrycan - Blue</v>
      </c>
      <c r="K15">
        <v>4</v>
      </c>
      <c r="L15">
        <f>IF(K15="",0,K15)</f>
        <v>4</v>
      </c>
      <c r="M15">
        <v>500</v>
      </c>
      <c r="N15">
        <f>IF(M15="",0,M15)</f>
        <v>500</v>
      </c>
      <c r="O15" t="str">
        <f>IF(L15&lt;0,"NEGATIVE QUANTITY","")</f>
        <v/>
      </c>
      <c r="P15">
        <f t="shared" si="0"/>
        <v>4</v>
      </c>
      <c r="Q15">
        <f>VLOOKUP(H15,'Product Cost Lookup'!A:D,4,FALSE)</f>
        <v>350</v>
      </c>
      <c r="R15" t="str">
        <f>VLOOKUP(H15,'Product Cost Lookup'!A:D,3,FALSE)</f>
        <v>Household</v>
      </c>
      <c r="S15">
        <f t="shared" si="1"/>
        <v>2000</v>
      </c>
      <c r="T15">
        <f t="shared" si="5"/>
        <v>1400</v>
      </c>
      <c r="U15">
        <f t="shared" si="2"/>
        <v>600</v>
      </c>
      <c r="V15" s="3">
        <f t="shared" si="3"/>
        <v>0.3</v>
      </c>
      <c r="W15" t="str">
        <f t="shared" si="4"/>
        <v>Jan</v>
      </c>
    </row>
    <row r="16" spans="1:23">
      <c r="A16">
        <v>10067</v>
      </c>
      <c r="B16" s="1">
        <v>45346</v>
      </c>
      <c r="C16">
        <v>45346</v>
      </c>
      <c r="D16" t="s">
        <v>45</v>
      </c>
      <c r="E16" t="str">
        <f>PROPER(TRIM(D16))</f>
        <v>Thika</v>
      </c>
      <c r="F16" t="s">
        <v>46</v>
      </c>
      <c r="G16" t="str">
        <f>PROPER(TRIM(F16))</f>
        <v>Samuel Kiptoo</v>
      </c>
      <c r="H16" t="s">
        <v>38</v>
      </c>
      <c r="I16" t="s">
        <v>39</v>
      </c>
      <c r="J16" t="str">
        <f>PROPER(TRIM(I16))</f>
        <v>Usb Wall Charger Uc-5</v>
      </c>
      <c r="K16">
        <v>5</v>
      </c>
      <c r="L16">
        <f>IF(K16="",0,K16)</f>
        <v>5</v>
      </c>
      <c r="M16">
        <v>500</v>
      </c>
      <c r="N16">
        <f>IF(M16="",0,M16)</f>
        <v>500</v>
      </c>
      <c r="O16" t="str">
        <f>IF(L16&lt;0,"NEGATIVE QUANTITY","")</f>
        <v/>
      </c>
      <c r="P16">
        <f t="shared" si="0"/>
        <v>5</v>
      </c>
      <c r="Q16">
        <f>VLOOKUP(H16,'Product Cost Lookup'!A:D,4,FALSE)</f>
        <v>300</v>
      </c>
      <c r="R16" t="str">
        <f>VLOOKUP(H16,'Product Cost Lookup'!A:D,3,FALSE)</f>
        <v>Electronics</v>
      </c>
      <c r="S16">
        <f t="shared" si="1"/>
        <v>2500</v>
      </c>
      <c r="T16">
        <f t="shared" si="5"/>
        <v>1500</v>
      </c>
      <c r="U16">
        <f t="shared" si="2"/>
        <v>1000</v>
      </c>
      <c r="V16" s="3">
        <f t="shared" si="3"/>
        <v>0.4</v>
      </c>
      <c r="W16" t="str">
        <f t="shared" si="4"/>
        <v>Feb</v>
      </c>
    </row>
    <row r="17" spans="1:23">
      <c r="A17">
        <v>10030</v>
      </c>
      <c r="B17" s="1">
        <v>45445</v>
      </c>
      <c r="C17">
        <v>45445</v>
      </c>
      <c r="D17" t="s">
        <v>47</v>
      </c>
      <c r="E17" t="str">
        <f>PROPER(TRIM(D17))</f>
        <v>Mombasa</v>
      </c>
      <c r="F17" t="s">
        <v>48</v>
      </c>
      <c r="G17" t="str">
        <f>PROPER(TRIM(F17))</f>
        <v>Brian Mutua</v>
      </c>
      <c r="H17" t="s">
        <v>10</v>
      </c>
      <c r="I17" t="s">
        <v>11</v>
      </c>
      <c r="J17" t="str">
        <f>PROPER(TRIM(I17))</f>
        <v>Kitchen Knife Set</v>
      </c>
      <c r="K17">
        <v>15</v>
      </c>
      <c r="L17">
        <f>IF(K17="",0,K17)</f>
        <v>15</v>
      </c>
      <c r="M17">
        <v>1400</v>
      </c>
      <c r="N17">
        <f>IF(M17="",0,M17)</f>
        <v>1400</v>
      </c>
      <c r="O17" t="str">
        <f>IF(L17&lt;0,"NEGATIVE QUANTITY","")</f>
        <v/>
      </c>
      <c r="P17">
        <f t="shared" si="0"/>
        <v>15</v>
      </c>
      <c r="Q17">
        <f>VLOOKUP(H17,'Product Cost Lookup'!A:D,4,FALSE)</f>
        <v>800</v>
      </c>
      <c r="R17" t="str">
        <f>VLOOKUP(H17,'Product Cost Lookup'!A:D,3,FALSE)</f>
        <v>Kitchenware</v>
      </c>
      <c r="S17">
        <f t="shared" si="1"/>
        <v>21000</v>
      </c>
      <c r="T17">
        <f t="shared" si="5"/>
        <v>12000</v>
      </c>
      <c r="U17">
        <f t="shared" si="2"/>
        <v>9000</v>
      </c>
      <c r="V17" s="3">
        <f t="shared" si="3"/>
        <v>0.42857142857142855</v>
      </c>
      <c r="W17" t="str">
        <f t="shared" si="4"/>
        <v>Jun</v>
      </c>
    </row>
    <row r="18" spans="1:23">
      <c r="A18">
        <v>10109</v>
      </c>
      <c r="B18" s="1">
        <v>45597</v>
      </c>
      <c r="C18">
        <v>45597</v>
      </c>
      <c r="D18" t="s">
        <v>45</v>
      </c>
      <c r="E18" t="str">
        <f>PROPER(TRIM(D18))</f>
        <v>Thika</v>
      </c>
      <c r="F18" t="s">
        <v>49</v>
      </c>
      <c r="G18" t="str">
        <f>PROPER(TRIM(F18))</f>
        <v>Brian Mutua</v>
      </c>
      <c r="H18" t="s">
        <v>50</v>
      </c>
      <c r="I18" t="s">
        <v>51</v>
      </c>
      <c r="J18" t="str">
        <f>PROPER(TRIM(I18))</f>
        <v>Solar Lantern Sl200</v>
      </c>
      <c r="K18">
        <v>8</v>
      </c>
      <c r="L18">
        <f>IF(K18="",0,K18)</f>
        <v>8</v>
      </c>
      <c r="M18">
        <v>1550</v>
      </c>
      <c r="N18">
        <f>IF(M18="",0,M18)</f>
        <v>1550</v>
      </c>
      <c r="O18" t="str">
        <f>IF(L18&lt;0,"NEGATIVE QUANTITY","")</f>
        <v/>
      </c>
      <c r="P18">
        <f t="shared" si="0"/>
        <v>8</v>
      </c>
      <c r="Q18">
        <f>VLOOKUP(H18,'Product Cost Lookup'!A:D,4,FALSE)</f>
        <v>900</v>
      </c>
      <c r="R18" t="str">
        <f>VLOOKUP(H18,'Product Cost Lookup'!A:D,3,FALSE)</f>
        <v>Electronics</v>
      </c>
      <c r="S18">
        <f t="shared" si="1"/>
        <v>12400</v>
      </c>
      <c r="T18">
        <f t="shared" si="5"/>
        <v>7200</v>
      </c>
      <c r="U18">
        <f t="shared" si="2"/>
        <v>5200</v>
      </c>
      <c r="V18" s="3">
        <f t="shared" si="3"/>
        <v>0.41935483870967744</v>
      </c>
      <c r="W18" t="str">
        <f t="shared" si="4"/>
        <v>Nov</v>
      </c>
    </row>
    <row r="19" spans="1:23">
      <c r="A19">
        <v>10218</v>
      </c>
      <c r="B19" s="1">
        <v>45365</v>
      </c>
      <c r="C19">
        <v>45365</v>
      </c>
      <c r="D19" t="s">
        <v>40</v>
      </c>
      <c r="E19" t="str">
        <f>PROPER(TRIM(D19))</f>
        <v>Thika</v>
      </c>
      <c r="F19" t="s">
        <v>52</v>
      </c>
      <c r="G19" t="str">
        <f>PROPER(TRIM(F19))</f>
        <v>Faith Wanjiru</v>
      </c>
      <c r="H19" t="s">
        <v>53</v>
      </c>
      <c r="I19" t="s">
        <v>54</v>
      </c>
      <c r="J19" t="str">
        <f>PROPER(TRIM(I19))</f>
        <v>Rechargeable Torch Rt-10</v>
      </c>
      <c r="K19">
        <v>10</v>
      </c>
      <c r="L19">
        <f>IF(K19="",0,K19)</f>
        <v>10</v>
      </c>
      <c r="M19">
        <v>900</v>
      </c>
      <c r="N19">
        <f>IF(M19="",0,M19)</f>
        <v>900</v>
      </c>
      <c r="O19" t="str">
        <f>IF(L19&lt;0,"NEGATIVE QUANTITY","")</f>
        <v/>
      </c>
      <c r="P19">
        <f t="shared" si="0"/>
        <v>10</v>
      </c>
      <c r="Q19">
        <f>VLOOKUP(H19,'Product Cost Lookup'!A:D,4,FALSE)</f>
        <v>600</v>
      </c>
      <c r="R19" t="str">
        <f>VLOOKUP(H19,'Product Cost Lookup'!A:D,3,FALSE)</f>
        <v>Electronics</v>
      </c>
      <c r="S19">
        <f t="shared" si="1"/>
        <v>9000</v>
      </c>
      <c r="T19">
        <f t="shared" si="5"/>
        <v>6000</v>
      </c>
      <c r="U19">
        <f t="shared" si="2"/>
        <v>3000</v>
      </c>
      <c r="V19" s="3">
        <f t="shared" si="3"/>
        <v>0.33333333333333331</v>
      </c>
      <c r="W19" t="str">
        <f t="shared" si="4"/>
        <v>Mar</v>
      </c>
    </row>
    <row r="20" spans="1:23">
      <c r="A20">
        <v>10228</v>
      </c>
      <c r="B20" s="1">
        <v>45381</v>
      </c>
      <c r="C20">
        <v>45381</v>
      </c>
      <c r="D20" t="s">
        <v>40</v>
      </c>
      <c r="E20" t="str">
        <f>PROPER(TRIM(D20))</f>
        <v>Thika</v>
      </c>
      <c r="F20" t="s">
        <v>16</v>
      </c>
      <c r="G20" t="str">
        <f>PROPER(TRIM(F20))</f>
        <v>Grace Achieng</v>
      </c>
      <c r="H20" t="s">
        <v>55</v>
      </c>
      <c r="I20" t="s">
        <v>56</v>
      </c>
      <c r="J20" t="str">
        <f>PROPER(TRIM(I20))</f>
        <v>Led Bulb 9W (Pack Of 4)</v>
      </c>
      <c r="K20">
        <v>4</v>
      </c>
      <c r="L20">
        <f>IF(K20="",0,K20)</f>
        <v>4</v>
      </c>
      <c r="M20">
        <v>780</v>
      </c>
      <c r="N20">
        <f>IF(M20="",0,M20)</f>
        <v>780</v>
      </c>
      <c r="O20" t="str">
        <f>IF(L20&lt;0,"NEGATIVE QUANTITY","")</f>
        <v/>
      </c>
      <c r="P20">
        <f t="shared" si="0"/>
        <v>4</v>
      </c>
      <c r="Q20">
        <f>VLOOKUP(H20,'Product Cost Lookup'!A:D,4,FALSE)</f>
        <v>480</v>
      </c>
      <c r="R20" t="str">
        <f>VLOOKUP(H20,'Product Cost Lookup'!A:D,3,FALSE)</f>
        <v>Electronics</v>
      </c>
      <c r="S20">
        <f t="shared" si="1"/>
        <v>3120</v>
      </c>
      <c r="T20">
        <f t="shared" si="5"/>
        <v>1920</v>
      </c>
      <c r="U20">
        <f t="shared" si="2"/>
        <v>1200</v>
      </c>
      <c r="V20" s="3">
        <f t="shared" si="3"/>
        <v>0.38461538461538464</v>
      </c>
      <c r="W20" t="str">
        <f t="shared" si="4"/>
        <v>Mar</v>
      </c>
    </row>
    <row r="21" spans="1:23">
      <c r="A21">
        <v>10111</v>
      </c>
      <c r="B21" t="s">
        <v>57</v>
      </c>
      <c r="C21">
        <v>45312</v>
      </c>
      <c r="D21" t="s">
        <v>58</v>
      </c>
      <c r="E21" t="str">
        <f>PROPER(TRIM(D21))</f>
        <v>Nairobi</v>
      </c>
      <c r="F21" t="s">
        <v>36</v>
      </c>
      <c r="G21" t="str">
        <f>PROPER(TRIM(F21))</f>
        <v>Peter Otieno</v>
      </c>
      <c r="H21" t="s">
        <v>55</v>
      </c>
      <c r="I21" t="s">
        <v>56</v>
      </c>
      <c r="J21" t="str">
        <f>PROPER(TRIM(I21))</f>
        <v>Led Bulb 9W (Pack Of 4)</v>
      </c>
      <c r="K21">
        <v>15</v>
      </c>
      <c r="L21">
        <f>IF(K21="",0,K21)</f>
        <v>15</v>
      </c>
      <c r="M21">
        <v>830</v>
      </c>
      <c r="N21">
        <f>IF(M21="",0,M21)</f>
        <v>830</v>
      </c>
      <c r="O21" t="str">
        <f>IF(L21&lt;0,"NEGATIVE QUANTITY","")</f>
        <v/>
      </c>
      <c r="P21">
        <f t="shared" si="0"/>
        <v>15</v>
      </c>
      <c r="Q21">
        <f>VLOOKUP(H21,'Product Cost Lookup'!A:D,4,FALSE)</f>
        <v>480</v>
      </c>
      <c r="R21" t="str">
        <f>VLOOKUP(H21,'Product Cost Lookup'!A:D,3,FALSE)</f>
        <v>Electronics</v>
      </c>
      <c r="S21">
        <f t="shared" si="1"/>
        <v>12450</v>
      </c>
      <c r="T21">
        <f t="shared" si="5"/>
        <v>7200</v>
      </c>
      <c r="U21">
        <f t="shared" si="2"/>
        <v>5250</v>
      </c>
      <c r="V21" s="3">
        <f t="shared" si="3"/>
        <v>0.42168674698795183</v>
      </c>
      <c r="W21" t="str">
        <f t="shared" si="4"/>
        <v>Jan</v>
      </c>
    </row>
    <row r="22" spans="1:23">
      <c r="A22">
        <v>10255</v>
      </c>
      <c r="B22" s="1">
        <v>45446</v>
      </c>
      <c r="C22">
        <v>45446</v>
      </c>
      <c r="D22" t="s">
        <v>59</v>
      </c>
      <c r="E22" t="str">
        <f>PROPER(TRIM(D22))</f>
        <v>Eldoret</v>
      </c>
      <c r="F22" t="s">
        <v>14</v>
      </c>
      <c r="G22" t="str">
        <f>PROPER(TRIM(F22))</f>
        <v>Faith Wanjiru</v>
      </c>
      <c r="H22" t="s">
        <v>33</v>
      </c>
      <c r="I22" t="s">
        <v>60</v>
      </c>
      <c r="J22" t="str">
        <f>PROPER(TRIM(I22))</f>
        <v>Padlock Set (3Pc)</v>
      </c>
      <c r="K22">
        <v>20</v>
      </c>
      <c r="L22">
        <f>IF(K22="",0,K22)</f>
        <v>20</v>
      </c>
      <c r="M22">
        <v>750</v>
      </c>
      <c r="N22">
        <f>IF(M22="",0,M22)</f>
        <v>750</v>
      </c>
      <c r="O22" t="str">
        <f>IF(L22&lt;0,"NEGATIVE QUANTITY","")</f>
        <v/>
      </c>
      <c r="P22">
        <f t="shared" si="0"/>
        <v>20</v>
      </c>
      <c r="Q22">
        <f>VLOOKUP(H22,'Product Cost Lookup'!A:D,4,FALSE)</f>
        <v>450</v>
      </c>
      <c r="R22" t="str">
        <f>VLOOKUP(H22,'Product Cost Lookup'!A:D,3,FALSE)</f>
        <v>Hardware</v>
      </c>
      <c r="S22">
        <f t="shared" si="1"/>
        <v>15000</v>
      </c>
      <c r="T22">
        <f t="shared" si="5"/>
        <v>9000</v>
      </c>
      <c r="U22">
        <f t="shared" si="2"/>
        <v>6000</v>
      </c>
      <c r="V22" s="3">
        <f t="shared" si="3"/>
        <v>0.4</v>
      </c>
      <c r="W22" t="str">
        <f t="shared" si="4"/>
        <v>Jun</v>
      </c>
    </row>
    <row r="23" spans="1:23">
      <c r="A23">
        <v>10236</v>
      </c>
      <c r="B23" s="1">
        <v>45335</v>
      </c>
      <c r="C23">
        <v>45335</v>
      </c>
      <c r="D23" t="s">
        <v>40</v>
      </c>
      <c r="E23" t="str">
        <f>PROPER(TRIM(D23))</f>
        <v>Thika</v>
      </c>
      <c r="F23" t="s">
        <v>14</v>
      </c>
      <c r="G23" t="str">
        <f>PROPER(TRIM(F23))</f>
        <v>Faith Wanjiru</v>
      </c>
      <c r="H23" t="s">
        <v>33</v>
      </c>
      <c r="I23" t="s">
        <v>34</v>
      </c>
      <c r="J23" t="str">
        <f>PROPER(TRIM(I23))</f>
        <v>Padlock Set (3Pc)</v>
      </c>
      <c r="K23">
        <v>12</v>
      </c>
      <c r="L23">
        <f>IF(K23="",0,K23)</f>
        <v>12</v>
      </c>
      <c r="M23">
        <v>750</v>
      </c>
      <c r="N23">
        <f>IF(M23="",0,M23)</f>
        <v>750</v>
      </c>
      <c r="O23" t="str">
        <f>IF(L23&lt;0,"NEGATIVE QUANTITY","")</f>
        <v/>
      </c>
      <c r="P23">
        <f t="shared" si="0"/>
        <v>12</v>
      </c>
      <c r="Q23">
        <f>VLOOKUP(H23,'Product Cost Lookup'!A:D,4,FALSE)</f>
        <v>450</v>
      </c>
      <c r="R23" t="str">
        <f>VLOOKUP(H23,'Product Cost Lookup'!A:D,3,FALSE)</f>
        <v>Hardware</v>
      </c>
      <c r="S23">
        <f t="shared" si="1"/>
        <v>9000</v>
      </c>
      <c r="T23">
        <f t="shared" si="5"/>
        <v>5400</v>
      </c>
      <c r="U23">
        <f t="shared" si="2"/>
        <v>3600</v>
      </c>
      <c r="V23" s="3">
        <f t="shared" si="3"/>
        <v>0.4</v>
      </c>
      <c r="W23" t="str">
        <f t="shared" si="4"/>
        <v>Feb</v>
      </c>
    </row>
    <row r="24" spans="1:23">
      <c r="A24">
        <v>10055</v>
      </c>
      <c r="B24" s="1">
        <v>45378</v>
      </c>
      <c r="C24">
        <v>45378</v>
      </c>
      <c r="D24" t="s">
        <v>35</v>
      </c>
      <c r="E24" t="str">
        <f>PROPER(TRIM(D24))</f>
        <v>Kisumu</v>
      </c>
      <c r="F24" t="s">
        <v>62</v>
      </c>
      <c r="G24" t="str">
        <f>PROPER(TRIM(F24))</f>
        <v>John Mwangi</v>
      </c>
      <c r="H24" t="s">
        <v>10</v>
      </c>
      <c r="I24" t="s">
        <v>11</v>
      </c>
      <c r="J24" t="str">
        <f>PROPER(TRIM(I24))</f>
        <v>Kitchen Knife Set</v>
      </c>
      <c r="K24">
        <v>3</v>
      </c>
      <c r="L24">
        <f>IF(K24="",0,K24)</f>
        <v>3</v>
      </c>
      <c r="M24">
        <v>1350</v>
      </c>
      <c r="N24">
        <f>IF(M24="",0,M24)</f>
        <v>1350</v>
      </c>
      <c r="O24" t="str">
        <f>IF(L24&lt;0,"NEGATIVE QUANTITY","")</f>
        <v/>
      </c>
      <c r="P24">
        <f t="shared" si="0"/>
        <v>3</v>
      </c>
      <c r="Q24">
        <f>VLOOKUP(H24,'Product Cost Lookup'!A:D,4,FALSE)</f>
        <v>800</v>
      </c>
      <c r="R24" t="str">
        <f>VLOOKUP(H24,'Product Cost Lookup'!A:D,3,FALSE)</f>
        <v>Kitchenware</v>
      </c>
      <c r="S24">
        <f t="shared" si="1"/>
        <v>4050</v>
      </c>
      <c r="T24">
        <f t="shared" si="5"/>
        <v>2400</v>
      </c>
      <c r="U24">
        <f t="shared" si="2"/>
        <v>1650</v>
      </c>
      <c r="V24" s="3">
        <f t="shared" si="3"/>
        <v>0.40740740740740738</v>
      </c>
      <c r="W24" t="str">
        <f t="shared" si="4"/>
        <v>Mar</v>
      </c>
    </row>
    <row r="25" spans="1:23">
      <c r="A25">
        <v>10090</v>
      </c>
      <c r="B25" s="2">
        <v>45335</v>
      </c>
      <c r="C25">
        <v>45335</v>
      </c>
      <c r="D25" t="s">
        <v>15</v>
      </c>
      <c r="E25" t="str">
        <f>PROPER(TRIM(D25))</f>
        <v>Mombasa</v>
      </c>
      <c r="F25" t="s">
        <v>24</v>
      </c>
      <c r="G25" t="str">
        <f>PROPER(TRIM(F25))</f>
        <v>Mercy Njeri</v>
      </c>
      <c r="H25" t="s">
        <v>10</v>
      </c>
      <c r="I25" t="s">
        <v>11</v>
      </c>
      <c r="J25" t="str">
        <f>PROPER(TRIM(I25))</f>
        <v>Kitchen Knife Set</v>
      </c>
      <c r="K25">
        <v>3</v>
      </c>
      <c r="L25">
        <f>IF(K25="",0,K25)</f>
        <v>3</v>
      </c>
      <c r="M25">
        <v>1250</v>
      </c>
      <c r="N25">
        <f>IF(M25="",0,M25)</f>
        <v>1250</v>
      </c>
      <c r="O25" t="str">
        <f>IF(L25&lt;0,"NEGATIVE QUANTITY","")</f>
        <v/>
      </c>
      <c r="P25">
        <f t="shared" si="0"/>
        <v>3</v>
      </c>
      <c r="Q25">
        <f>VLOOKUP(H25,'Product Cost Lookup'!A:D,4,FALSE)</f>
        <v>800</v>
      </c>
      <c r="R25" t="str">
        <f>VLOOKUP(H25,'Product Cost Lookup'!A:D,3,FALSE)</f>
        <v>Kitchenware</v>
      </c>
      <c r="S25">
        <f t="shared" si="1"/>
        <v>3750</v>
      </c>
      <c r="T25">
        <f t="shared" si="5"/>
        <v>2400</v>
      </c>
      <c r="U25">
        <f t="shared" si="2"/>
        <v>1350</v>
      </c>
      <c r="V25" s="3">
        <f t="shared" si="3"/>
        <v>0.36</v>
      </c>
      <c r="W25" t="str">
        <f t="shared" si="4"/>
        <v>Feb</v>
      </c>
    </row>
    <row r="26" spans="1:23">
      <c r="A26">
        <v>10197</v>
      </c>
      <c r="B26" s="1">
        <v>45338</v>
      </c>
      <c r="C26">
        <v>45338</v>
      </c>
      <c r="D26" t="s">
        <v>63</v>
      </c>
      <c r="E26" t="str">
        <f>PROPER(TRIM(D26))</f>
        <v>Nakuru</v>
      </c>
      <c r="F26" t="s">
        <v>9</v>
      </c>
      <c r="G26" t="str">
        <f>PROPER(TRIM(F26))</f>
        <v>Peter Otieno</v>
      </c>
      <c r="H26" t="s">
        <v>53</v>
      </c>
      <c r="I26" t="s">
        <v>54</v>
      </c>
      <c r="J26" t="str">
        <f>PROPER(TRIM(I26))</f>
        <v>Rechargeable Torch Rt-10</v>
      </c>
      <c r="K26">
        <v>1</v>
      </c>
      <c r="L26">
        <f>IF(K26="",0,K26)</f>
        <v>1</v>
      </c>
      <c r="M26">
        <v>1050</v>
      </c>
      <c r="N26">
        <f>IF(M26="",0,M26)</f>
        <v>1050</v>
      </c>
      <c r="O26" t="str">
        <f>IF(L26&lt;0,"NEGATIVE QUANTITY","")</f>
        <v/>
      </c>
      <c r="P26">
        <f t="shared" si="0"/>
        <v>1</v>
      </c>
      <c r="Q26">
        <f>VLOOKUP(H26,'Product Cost Lookup'!A:D,4,FALSE)</f>
        <v>600</v>
      </c>
      <c r="R26" t="str">
        <f>VLOOKUP(H26,'Product Cost Lookup'!A:D,3,FALSE)</f>
        <v>Electronics</v>
      </c>
      <c r="S26">
        <f t="shared" si="1"/>
        <v>1050</v>
      </c>
      <c r="T26">
        <f t="shared" si="5"/>
        <v>600</v>
      </c>
      <c r="U26">
        <f t="shared" si="2"/>
        <v>450</v>
      </c>
      <c r="V26" s="3">
        <f t="shared" si="3"/>
        <v>0.42857142857142855</v>
      </c>
      <c r="W26" t="str">
        <f t="shared" si="4"/>
        <v>Feb</v>
      </c>
    </row>
    <row r="27" spans="1:23">
      <c r="A27">
        <v>10242</v>
      </c>
      <c r="B27" s="1">
        <v>45368</v>
      </c>
      <c r="C27">
        <v>45368</v>
      </c>
      <c r="E27" t="str">
        <f>IF(TRIM(D27)="","Unknown",PROPER(TRIM(D27)))</f>
        <v>Unknown</v>
      </c>
      <c r="F27" t="s">
        <v>64</v>
      </c>
      <c r="G27" t="str">
        <f>PROPER(TRIM(F27))</f>
        <v>Mercy Njeri</v>
      </c>
      <c r="H27" t="s">
        <v>65</v>
      </c>
      <c r="I27" t="s">
        <v>66</v>
      </c>
      <c r="J27" t="str">
        <f>PROPER(TRIM(I27))</f>
        <v>Mosquito Net - Family Size</v>
      </c>
      <c r="K27">
        <v>20</v>
      </c>
      <c r="L27">
        <f>IF(K27="",0,K27)</f>
        <v>20</v>
      </c>
      <c r="M27">
        <v>650</v>
      </c>
      <c r="N27">
        <f>IF(M27="",0,M27)</f>
        <v>650</v>
      </c>
      <c r="O27" t="str">
        <f>IF(L27&lt;0,"NEGATIVE QUANTITY","")</f>
        <v/>
      </c>
      <c r="P27">
        <f t="shared" si="0"/>
        <v>20</v>
      </c>
      <c r="Q27">
        <f>VLOOKUP(H27,'Product Cost Lookup'!A:D,4,FALSE)</f>
        <v>400</v>
      </c>
      <c r="R27" t="str">
        <f>VLOOKUP(H27,'Product Cost Lookup'!A:D,3,FALSE)</f>
        <v>Household</v>
      </c>
      <c r="S27">
        <f t="shared" si="1"/>
        <v>13000</v>
      </c>
      <c r="T27">
        <f t="shared" si="5"/>
        <v>8000</v>
      </c>
      <c r="U27">
        <f t="shared" si="2"/>
        <v>5000</v>
      </c>
      <c r="V27" s="3">
        <f t="shared" si="3"/>
        <v>0.38461538461538464</v>
      </c>
      <c r="W27" t="str">
        <f t="shared" si="4"/>
        <v>Mar</v>
      </c>
    </row>
    <row r="28" spans="1:23">
      <c r="A28">
        <v>10289</v>
      </c>
      <c r="B28" t="s">
        <v>67</v>
      </c>
      <c r="C28">
        <v>45340</v>
      </c>
      <c r="D28" t="s">
        <v>41</v>
      </c>
      <c r="E28" t="str">
        <f>IF(TRIM(D28)="","Unknown",PROPER(TRIM(D28)))</f>
        <v>Nakuru</v>
      </c>
      <c r="F28" t="s">
        <v>68</v>
      </c>
      <c r="G28" t="str">
        <f>PROPER(TRIM(F28))</f>
        <v>Peter Otieno</v>
      </c>
      <c r="H28" t="s">
        <v>50</v>
      </c>
      <c r="I28" t="s">
        <v>69</v>
      </c>
      <c r="J28" t="str">
        <f>PROPER(TRIM(I28))</f>
        <v>Solar Lantern Sl-200</v>
      </c>
      <c r="K28">
        <v>1</v>
      </c>
      <c r="L28">
        <f>IF(K28="",0,K28)</f>
        <v>1</v>
      </c>
      <c r="M28">
        <v>1450</v>
      </c>
      <c r="N28">
        <f>IF(M28="",0,M28)</f>
        <v>1450</v>
      </c>
      <c r="O28" t="str">
        <f>IF(L28&lt;0,"NEGATIVE QUANTITY","")</f>
        <v/>
      </c>
      <c r="P28">
        <f t="shared" si="0"/>
        <v>1</v>
      </c>
      <c r="Q28">
        <f>VLOOKUP(H28,'Product Cost Lookup'!A:D,4,FALSE)</f>
        <v>900</v>
      </c>
      <c r="R28" t="str">
        <f>VLOOKUP(H28,'Product Cost Lookup'!A:D,3,FALSE)</f>
        <v>Electronics</v>
      </c>
      <c r="S28">
        <f t="shared" si="1"/>
        <v>1450</v>
      </c>
      <c r="T28">
        <f t="shared" si="5"/>
        <v>900</v>
      </c>
      <c r="U28">
        <f t="shared" si="2"/>
        <v>550</v>
      </c>
      <c r="V28" s="3">
        <f t="shared" si="3"/>
        <v>0.37931034482758619</v>
      </c>
      <c r="W28" t="str">
        <f t="shared" si="4"/>
        <v>Feb</v>
      </c>
    </row>
    <row r="29" spans="1:23">
      <c r="A29">
        <v>10108</v>
      </c>
      <c r="B29" s="1">
        <v>45375</v>
      </c>
      <c r="C29">
        <v>45375</v>
      </c>
      <c r="D29" t="s">
        <v>23</v>
      </c>
      <c r="E29" t="str">
        <f>IF(TRIM(D29)="","Unknown",PROPER(TRIM(D29)))</f>
        <v>Kisumu</v>
      </c>
      <c r="F29" t="s">
        <v>46</v>
      </c>
      <c r="G29" t="str">
        <f>PROPER(TRIM(F29))</f>
        <v>Samuel Kiptoo</v>
      </c>
      <c r="H29" t="s">
        <v>50</v>
      </c>
      <c r="I29" t="s">
        <v>71</v>
      </c>
      <c r="J29" t="str">
        <f>PROPER(TRIM(I29))</f>
        <v>Solar Lantern Sl-200</v>
      </c>
      <c r="K29">
        <v>6</v>
      </c>
      <c r="L29">
        <f>IF(K29="",0,K29)</f>
        <v>6</v>
      </c>
      <c r="M29">
        <v>1500</v>
      </c>
      <c r="N29">
        <f>IF(M29="",0,M29)</f>
        <v>1500</v>
      </c>
      <c r="O29" t="str">
        <f>IF(L29&lt;0,"NEGATIVE QUANTITY","")</f>
        <v/>
      </c>
      <c r="P29">
        <f t="shared" si="0"/>
        <v>6</v>
      </c>
      <c r="Q29">
        <f>VLOOKUP(H29,'Product Cost Lookup'!A:D,4,FALSE)</f>
        <v>900</v>
      </c>
      <c r="R29" t="str">
        <f>VLOOKUP(H29,'Product Cost Lookup'!A:D,3,FALSE)</f>
        <v>Electronics</v>
      </c>
      <c r="S29">
        <f t="shared" si="1"/>
        <v>9000</v>
      </c>
      <c r="T29">
        <f t="shared" si="5"/>
        <v>5400</v>
      </c>
      <c r="U29">
        <f t="shared" si="2"/>
        <v>3600</v>
      </c>
      <c r="V29" s="3">
        <f t="shared" si="3"/>
        <v>0.4</v>
      </c>
      <c r="W29" t="str">
        <f t="shared" si="4"/>
        <v>Mar</v>
      </c>
    </row>
    <row r="30" spans="1:23">
      <c r="A30">
        <v>10087</v>
      </c>
      <c r="B30" s="1">
        <v>45342</v>
      </c>
      <c r="C30">
        <v>45342</v>
      </c>
      <c r="E30" t="str">
        <f>IF(TRIM(D30)="","Unknown",PROPER(TRIM(D30)))</f>
        <v>Unknown</v>
      </c>
      <c r="F30" t="s">
        <v>62</v>
      </c>
      <c r="G30" t="str">
        <f>PROPER(TRIM(F30))</f>
        <v>John Mwangi</v>
      </c>
      <c r="H30" t="s">
        <v>17</v>
      </c>
      <c r="I30" t="s">
        <v>18</v>
      </c>
      <c r="J30" t="str">
        <f>PROPER(TRIM(I30))</f>
        <v>20L Jerrycan - Blue</v>
      </c>
      <c r="K30">
        <v>4</v>
      </c>
      <c r="L30">
        <f>IF(K30="",0,K30)</f>
        <v>4</v>
      </c>
      <c r="M30">
        <v>550</v>
      </c>
      <c r="N30">
        <f>IF(M30="",0,M30)</f>
        <v>550</v>
      </c>
      <c r="O30" t="str">
        <f>IF(L30&lt;0,"NEGATIVE QUANTITY","")</f>
        <v/>
      </c>
      <c r="P30">
        <f t="shared" si="0"/>
        <v>4</v>
      </c>
      <c r="Q30">
        <f>VLOOKUP(H30,'Product Cost Lookup'!A:D,4,FALSE)</f>
        <v>350</v>
      </c>
      <c r="R30" t="str">
        <f>VLOOKUP(H30,'Product Cost Lookup'!A:D,3,FALSE)</f>
        <v>Household</v>
      </c>
      <c r="S30">
        <f t="shared" si="1"/>
        <v>2200</v>
      </c>
      <c r="T30">
        <f t="shared" si="5"/>
        <v>1400</v>
      </c>
      <c r="U30">
        <f t="shared" si="2"/>
        <v>800</v>
      </c>
      <c r="V30" s="3">
        <f t="shared" si="3"/>
        <v>0.36363636363636365</v>
      </c>
      <c r="W30" t="str">
        <f t="shared" si="4"/>
        <v>Feb</v>
      </c>
    </row>
    <row r="31" spans="1:23">
      <c r="A31">
        <v>10263</v>
      </c>
      <c r="B31" s="2">
        <v>45328</v>
      </c>
      <c r="C31">
        <v>45328</v>
      </c>
      <c r="D31" t="s">
        <v>29</v>
      </c>
      <c r="E31" t="str">
        <f>IF(TRIM(D31)="","Unknown",PROPER(TRIM(D31)))</f>
        <v>Thika</v>
      </c>
      <c r="F31" t="s">
        <v>46</v>
      </c>
      <c r="G31" t="str">
        <f>PROPER(TRIM(F31))</f>
        <v>Samuel Kiptoo</v>
      </c>
      <c r="H31" t="s">
        <v>53</v>
      </c>
      <c r="I31" t="s">
        <v>72</v>
      </c>
      <c r="J31" t="str">
        <f>PROPER(TRIM(I31))</f>
        <v>Rechargeable Torch Rt-10</v>
      </c>
      <c r="K31">
        <v>1</v>
      </c>
      <c r="L31">
        <f>IF(K31="",0,K31)</f>
        <v>1</v>
      </c>
      <c r="M31">
        <v>950</v>
      </c>
      <c r="N31">
        <f>IF(M31="",0,M31)</f>
        <v>950</v>
      </c>
      <c r="O31" t="str">
        <f>IF(L31&lt;0,"NEGATIVE QUANTITY","")</f>
        <v/>
      </c>
      <c r="P31">
        <f t="shared" si="0"/>
        <v>1</v>
      </c>
      <c r="Q31">
        <f>VLOOKUP(H31,'Product Cost Lookup'!A:D,4,FALSE)</f>
        <v>600</v>
      </c>
      <c r="R31" t="str">
        <f>VLOOKUP(H31,'Product Cost Lookup'!A:D,3,FALSE)</f>
        <v>Electronics</v>
      </c>
      <c r="S31">
        <f t="shared" si="1"/>
        <v>950</v>
      </c>
      <c r="T31">
        <f t="shared" si="5"/>
        <v>600</v>
      </c>
      <c r="U31">
        <f t="shared" si="2"/>
        <v>350</v>
      </c>
      <c r="V31" s="3">
        <f t="shared" si="3"/>
        <v>0.36842105263157893</v>
      </c>
      <c r="W31" t="str">
        <f t="shared" si="4"/>
        <v>Feb</v>
      </c>
    </row>
    <row r="32" spans="1:23">
      <c r="A32">
        <v>10038</v>
      </c>
      <c r="B32" s="1">
        <v>45376</v>
      </c>
      <c r="C32">
        <v>45376</v>
      </c>
      <c r="D32" t="s">
        <v>58</v>
      </c>
      <c r="E32" t="str">
        <f>IF(TRIM(D32)="","Unknown",PROPER(TRIM(D32)))</f>
        <v>Nairobi</v>
      </c>
      <c r="F32" t="s">
        <v>16</v>
      </c>
      <c r="G32" t="str">
        <f>PROPER(TRIM(F32))</f>
        <v>Grace Achieng</v>
      </c>
      <c r="H32" t="s">
        <v>33</v>
      </c>
      <c r="I32" t="s">
        <v>60</v>
      </c>
      <c r="J32" t="str">
        <f>PROPER(TRIM(I32))</f>
        <v>Padlock Set (3Pc)</v>
      </c>
      <c r="K32">
        <v>8</v>
      </c>
      <c r="L32">
        <f>IF(K32="",0,K32)</f>
        <v>8</v>
      </c>
      <c r="M32">
        <v>700</v>
      </c>
      <c r="N32">
        <f>IF(M32="",0,M32)</f>
        <v>700</v>
      </c>
      <c r="O32" t="str">
        <f>IF(L32&lt;0,"NEGATIVE QUANTITY","")</f>
        <v/>
      </c>
      <c r="P32">
        <f t="shared" si="0"/>
        <v>8</v>
      </c>
      <c r="Q32">
        <f>VLOOKUP(H32,'Product Cost Lookup'!A:D,4,FALSE)</f>
        <v>450</v>
      </c>
      <c r="R32" t="str">
        <f>VLOOKUP(H32,'Product Cost Lookup'!A:D,3,FALSE)</f>
        <v>Hardware</v>
      </c>
      <c r="S32">
        <f t="shared" si="1"/>
        <v>5600</v>
      </c>
      <c r="T32">
        <f t="shared" si="5"/>
        <v>3600</v>
      </c>
      <c r="U32">
        <f t="shared" si="2"/>
        <v>2000</v>
      </c>
      <c r="V32" s="3">
        <f t="shared" si="3"/>
        <v>0.35714285714285715</v>
      </c>
      <c r="W32" t="str">
        <f t="shared" si="4"/>
        <v>Mar</v>
      </c>
    </row>
    <row r="33" spans="1:23">
      <c r="A33">
        <v>10148</v>
      </c>
      <c r="B33" s="1">
        <v>45299</v>
      </c>
      <c r="C33">
        <v>45299</v>
      </c>
      <c r="D33" t="s">
        <v>19</v>
      </c>
      <c r="E33" t="str">
        <f>IF(TRIM(D33)="","Unknown",PROPER(TRIM(D33)))</f>
        <v>Eldoret</v>
      </c>
      <c r="F33" t="s">
        <v>48</v>
      </c>
      <c r="G33" t="str">
        <f>PROPER(TRIM(F33))</f>
        <v>Brian Mutua</v>
      </c>
      <c r="H33" t="s">
        <v>65</v>
      </c>
      <c r="I33" t="s">
        <v>73</v>
      </c>
      <c r="J33" t="str">
        <f>PROPER(TRIM(I33))</f>
        <v>Mosquito Net - Family Size</v>
      </c>
      <c r="K33">
        <v>12</v>
      </c>
      <c r="L33">
        <f>IF(K33="",0,K33)</f>
        <v>12</v>
      </c>
      <c r="M33">
        <v>750</v>
      </c>
      <c r="N33">
        <f>IF(M33="",0,M33)</f>
        <v>750</v>
      </c>
      <c r="O33" t="str">
        <f>IF(L33&lt;0,"NEGATIVE QUANTITY","")</f>
        <v/>
      </c>
      <c r="P33">
        <f t="shared" si="0"/>
        <v>12</v>
      </c>
      <c r="Q33">
        <f>VLOOKUP(H33,'Product Cost Lookup'!A:D,4,FALSE)</f>
        <v>400</v>
      </c>
      <c r="R33" t="str">
        <f>VLOOKUP(H33,'Product Cost Lookup'!A:D,3,FALSE)</f>
        <v>Household</v>
      </c>
      <c r="S33">
        <f t="shared" si="1"/>
        <v>9000</v>
      </c>
      <c r="T33">
        <f t="shared" si="5"/>
        <v>4800</v>
      </c>
      <c r="U33">
        <f t="shared" si="2"/>
        <v>4200</v>
      </c>
      <c r="V33" s="3">
        <f t="shared" si="3"/>
        <v>0.46666666666666667</v>
      </c>
      <c r="W33" t="str">
        <f t="shared" si="4"/>
        <v>Jan</v>
      </c>
    </row>
    <row r="34" spans="1:23">
      <c r="A34">
        <v>10180</v>
      </c>
      <c r="B34" s="1">
        <v>45382</v>
      </c>
      <c r="C34">
        <v>45382</v>
      </c>
      <c r="D34" t="s">
        <v>19</v>
      </c>
      <c r="E34" t="str">
        <f>IF(TRIM(D34)="","Unknown",PROPER(TRIM(D34)))</f>
        <v>Eldoret</v>
      </c>
      <c r="F34" t="s">
        <v>48</v>
      </c>
      <c r="G34" t="str">
        <f>PROPER(TRIM(F34))</f>
        <v>Brian Mutua</v>
      </c>
      <c r="H34" t="s">
        <v>53</v>
      </c>
      <c r="I34" t="s">
        <v>72</v>
      </c>
      <c r="J34" t="str">
        <f>PROPER(TRIM(I34))</f>
        <v>Rechargeable Torch Rt-10</v>
      </c>
      <c r="K34">
        <v>15</v>
      </c>
      <c r="L34">
        <f>IF(K34="",0,K34)</f>
        <v>15</v>
      </c>
      <c r="M34">
        <v>950</v>
      </c>
      <c r="N34">
        <f>IF(M34="",0,M34)</f>
        <v>950</v>
      </c>
      <c r="O34" t="str">
        <f>IF(L34&lt;0,"NEGATIVE QUANTITY","")</f>
        <v/>
      </c>
      <c r="P34">
        <f t="shared" si="0"/>
        <v>15</v>
      </c>
      <c r="Q34">
        <f>VLOOKUP(H34,'Product Cost Lookup'!A:D,4,FALSE)</f>
        <v>600</v>
      </c>
      <c r="R34" t="str">
        <f>VLOOKUP(H34,'Product Cost Lookup'!A:D,3,FALSE)</f>
        <v>Electronics</v>
      </c>
      <c r="S34">
        <f t="shared" si="1"/>
        <v>14250</v>
      </c>
      <c r="T34">
        <f t="shared" si="5"/>
        <v>9000</v>
      </c>
      <c r="U34">
        <f t="shared" si="2"/>
        <v>5250</v>
      </c>
      <c r="V34" s="3">
        <f t="shared" si="3"/>
        <v>0.36842105263157893</v>
      </c>
      <c r="W34" t="str">
        <f t="shared" si="4"/>
        <v>Mar</v>
      </c>
    </row>
    <row r="35" spans="1:23">
      <c r="A35">
        <v>10027</v>
      </c>
      <c r="B35" s="1">
        <v>45296</v>
      </c>
      <c r="C35">
        <v>45296</v>
      </c>
      <c r="D35" t="s">
        <v>74</v>
      </c>
      <c r="E35" t="str">
        <f>IF(TRIM(D35)="","Unknown",PROPER(TRIM(D35)))</f>
        <v>Nairobi</v>
      </c>
      <c r="F35" t="s">
        <v>48</v>
      </c>
      <c r="G35" t="str">
        <f>PROPER(TRIM(F35))</f>
        <v>Brian Mutua</v>
      </c>
      <c r="H35" t="s">
        <v>25</v>
      </c>
      <c r="I35" t="s">
        <v>75</v>
      </c>
      <c r="J35" t="str">
        <f>PROPER(TRIM(I35))</f>
        <v>Plastic Storage Basket L</v>
      </c>
      <c r="K35">
        <v>6</v>
      </c>
      <c r="L35">
        <f>IF(K35="",0,K35)</f>
        <v>6</v>
      </c>
      <c r="M35">
        <v>470</v>
      </c>
      <c r="N35">
        <f>IF(M35="",0,M35)</f>
        <v>470</v>
      </c>
      <c r="O35" t="str">
        <f>IF(L35&lt;0,"NEGATIVE QUANTITY","")</f>
        <v/>
      </c>
      <c r="P35">
        <f t="shared" si="0"/>
        <v>6</v>
      </c>
      <c r="Q35">
        <f>VLOOKUP(H35,'Product Cost Lookup'!A:D,4,FALSE)</f>
        <v>250</v>
      </c>
      <c r="R35" t="str">
        <f>VLOOKUP(H35,'Product Cost Lookup'!A:D,3,FALSE)</f>
        <v>Household</v>
      </c>
      <c r="S35">
        <f t="shared" si="1"/>
        <v>2820</v>
      </c>
      <c r="T35">
        <f t="shared" si="5"/>
        <v>1500</v>
      </c>
      <c r="U35">
        <f t="shared" si="2"/>
        <v>1320</v>
      </c>
      <c r="V35" s="3">
        <f t="shared" si="3"/>
        <v>0.46808510638297873</v>
      </c>
      <c r="W35" t="str">
        <f t="shared" si="4"/>
        <v>Jan</v>
      </c>
    </row>
    <row r="36" spans="1:23">
      <c r="A36">
        <v>10276</v>
      </c>
      <c r="B36" s="1">
        <v>45310</v>
      </c>
      <c r="C36">
        <v>45310</v>
      </c>
      <c r="D36" t="s">
        <v>15</v>
      </c>
      <c r="E36" t="str">
        <f>IF(TRIM(D36)="","Unknown",PROPER(TRIM(D36)))</f>
        <v>Mombasa</v>
      </c>
      <c r="F36" t="s">
        <v>9</v>
      </c>
      <c r="G36" t="str">
        <f>PROPER(TRIM(F36))</f>
        <v>Peter Otieno</v>
      </c>
      <c r="H36" t="s">
        <v>77</v>
      </c>
      <c r="I36" t="s">
        <v>78</v>
      </c>
      <c r="J36" t="str">
        <f>PROPER(TRIM(I36))</f>
        <v>Cooking Gas Burner Cb-2</v>
      </c>
      <c r="K36">
        <v>15</v>
      </c>
      <c r="L36">
        <f>IF(K36="",0,K36)</f>
        <v>15</v>
      </c>
      <c r="M36">
        <v>1850</v>
      </c>
      <c r="N36">
        <f>IF(M36="",0,M36)</f>
        <v>1850</v>
      </c>
      <c r="O36" t="str">
        <f>IF(L36&lt;0,"NEGATIVE QUANTITY","")</f>
        <v/>
      </c>
      <c r="P36">
        <f t="shared" si="0"/>
        <v>15</v>
      </c>
      <c r="Q36">
        <f>VLOOKUP(H36,'Product Cost Lookup'!A:D,4,FALSE)</f>
        <v>1200</v>
      </c>
      <c r="R36" t="str">
        <f>VLOOKUP(H36,'Product Cost Lookup'!A:D,3,FALSE)</f>
        <v>Kitchenware</v>
      </c>
      <c r="S36">
        <f t="shared" si="1"/>
        <v>27750</v>
      </c>
      <c r="T36">
        <f t="shared" si="5"/>
        <v>18000</v>
      </c>
      <c r="U36">
        <f t="shared" si="2"/>
        <v>9750</v>
      </c>
      <c r="V36" s="3">
        <f t="shared" si="3"/>
        <v>0.35135135135135137</v>
      </c>
      <c r="W36" t="str">
        <f t="shared" si="4"/>
        <v>Jan</v>
      </c>
    </row>
    <row r="37" spans="1:23">
      <c r="A37">
        <v>10184</v>
      </c>
      <c r="B37" s="1">
        <v>45308</v>
      </c>
      <c r="C37">
        <v>45308</v>
      </c>
      <c r="D37" t="s">
        <v>79</v>
      </c>
      <c r="E37" t="str">
        <f>IF(TRIM(D37)="","Unknown",PROPER(TRIM(D37)))</f>
        <v>Eldoret</v>
      </c>
      <c r="F37" t="s">
        <v>80</v>
      </c>
      <c r="G37" t="str">
        <f>PROPER(TRIM(F37))</f>
        <v>Aisha Hassan</v>
      </c>
      <c r="H37" t="s">
        <v>10</v>
      </c>
      <c r="I37" t="s">
        <v>11</v>
      </c>
      <c r="J37" t="str">
        <f>PROPER(TRIM(I37))</f>
        <v>Kitchen Knife Set</v>
      </c>
      <c r="K37">
        <v>6</v>
      </c>
      <c r="L37">
        <f>IF(K37="",0,K37)</f>
        <v>6</v>
      </c>
      <c r="M37">
        <v>1250</v>
      </c>
      <c r="N37">
        <f>IF(M37="",0,M37)</f>
        <v>1250</v>
      </c>
      <c r="O37" t="str">
        <f>IF(L37&lt;0,"NEGATIVE QUANTITY","")</f>
        <v/>
      </c>
      <c r="P37">
        <f t="shared" si="0"/>
        <v>6</v>
      </c>
      <c r="Q37">
        <f>VLOOKUP(H37,'Product Cost Lookup'!A:D,4,FALSE)</f>
        <v>800</v>
      </c>
      <c r="R37" t="str">
        <f>VLOOKUP(H37,'Product Cost Lookup'!A:D,3,FALSE)</f>
        <v>Kitchenware</v>
      </c>
      <c r="S37">
        <f t="shared" si="1"/>
        <v>7500</v>
      </c>
      <c r="T37">
        <f t="shared" si="5"/>
        <v>4800</v>
      </c>
      <c r="U37">
        <f t="shared" si="2"/>
        <v>2700</v>
      </c>
      <c r="V37" s="3">
        <f t="shared" si="3"/>
        <v>0.36</v>
      </c>
      <c r="W37" t="str">
        <f t="shared" si="4"/>
        <v>Jan</v>
      </c>
    </row>
    <row r="38" spans="1:23">
      <c r="A38">
        <v>10062</v>
      </c>
      <c r="B38" s="1">
        <v>45375</v>
      </c>
      <c r="C38">
        <v>45375</v>
      </c>
      <c r="D38" t="s">
        <v>15</v>
      </c>
      <c r="E38" t="str">
        <f>IF(TRIM(D38)="","Unknown",PROPER(TRIM(D38)))</f>
        <v>Mombasa</v>
      </c>
      <c r="F38" t="s">
        <v>81</v>
      </c>
      <c r="G38" t="str">
        <f>PROPER(TRIM(F38))</f>
        <v>Aisha Hassan</v>
      </c>
      <c r="H38" t="s">
        <v>17</v>
      </c>
      <c r="I38" t="s">
        <v>18</v>
      </c>
      <c r="J38" t="str">
        <f>PROPER(TRIM(I38))</f>
        <v>20L Jerrycan - Blue</v>
      </c>
      <c r="K38">
        <v>3</v>
      </c>
      <c r="L38">
        <f>IF(K38="",0,K38)</f>
        <v>3</v>
      </c>
      <c r="M38">
        <v>650</v>
      </c>
      <c r="N38">
        <f>IF(M38="",0,M38)</f>
        <v>650</v>
      </c>
      <c r="O38" t="str">
        <f>IF(L38&lt;0,"NEGATIVE QUANTITY","")</f>
        <v/>
      </c>
      <c r="P38">
        <f t="shared" si="0"/>
        <v>3</v>
      </c>
      <c r="Q38">
        <f>VLOOKUP(H38,'Product Cost Lookup'!A:D,4,FALSE)</f>
        <v>350</v>
      </c>
      <c r="R38" t="str">
        <f>VLOOKUP(H38,'Product Cost Lookup'!A:D,3,FALSE)</f>
        <v>Household</v>
      </c>
      <c r="S38">
        <f t="shared" si="1"/>
        <v>1950</v>
      </c>
      <c r="T38">
        <f t="shared" si="5"/>
        <v>1050</v>
      </c>
      <c r="U38">
        <f t="shared" si="2"/>
        <v>900</v>
      </c>
      <c r="V38" s="3">
        <f t="shared" si="3"/>
        <v>0.46153846153846156</v>
      </c>
      <c r="W38" t="str">
        <f t="shared" si="4"/>
        <v>Mar</v>
      </c>
    </row>
    <row r="39" spans="1:23">
      <c r="A39">
        <v>10296</v>
      </c>
      <c r="B39" s="1">
        <v>45375</v>
      </c>
      <c r="C39">
        <v>45375</v>
      </c>
      <c r="D39" t="s">
        <v>79</v>
      </c>
      <c r="E39" t="str">
        <f>IF(TRIM(D39)="","Unknown",PROPER(TRIM(D39)))</f>
        <v>Eldoret</v>
      </c>
      <c r="F39" t="s">
        <v>46</v>
      </c>
      <c r="G39" t="str">
        <f>PROPER(TRIM(F39))</f>
        <v>Samuel Kiptoo</v>
      </c>
      <c r="H39" t="s">
        <v>30</v>
      </c>
      <c r="I39" t="s">
        <v>31</v>
      </c>
      <c r="J39" t="str">
        <f>PROPER(TRIM(I39))</f>
        <v>Garden Hose 20M</v>
      </c>
      <c r="K39">
        <v>15</v>
      </c>
      <c r="L39">
        <f>IF(K39="",0,K39)</f>
        <v>15</v>
      </c>
      <c r="M39">
        <v>1650</v>
      </c>
      <c r="N39">
        <f>IF(M39="",0,M39)</f>
        <v>1650</v>
      </c>
      <c r="O39" t="str">
        <f>IF(L39&lt;0,"NEGATIVE QUANTITY","")</f>
        <v/>
      </c>
      <c r="P39">
        <f t="shared" si="0"/>
        <v>15</v>
      </c>
      <c r="Q39">
        <f>VLOOKUP(H39,'Product Cost Lookup'!A:D,4,FALSE)</f>
        <v>1100</v>
      </c>
      <c r="R39" t="str">
        <f>VLOOKUP(H39,'Product Cost Lookup'!A:D,3,FALSE)</f>
        <v>Hardware</v>
      </c>
      <c r="S39">
        <f t="shared" si="1"/>
        <v>24750</v>
      </c>
      <c r="T39">
        <f t="shared" si="5"/>
        <v>16500</v>
      </c>
      <c r="U39">
        <f t="shared" si="2"/>
        <v>8250</v>
      </c>
      <c r="V39" s="3">
        <f t="shared" si="3"/>
        <v>0.33333333333333331</v>
      </c>
      <c r="W39" t="str">
        <f t="shared" si="4"/>
        <v>Mar</v>
      </c>
    </row>
    <row r="40" spans="1:23">
      <c r="A40">
        <v>10186</v>
      </c>
      <c r="B40" s="1">
        <v>45303</v>
      </c>
      <c r="C40">
        <v>45303</v>
      </c>
      <c r="D40" t="s">
        <v>40</v>
      </c>
      <c r="E40" t="str">
        <f>IF(TRIM(D40)="","Unknown",PROPER(TRIM(D40)))</f>
        <v>Thika</v>
      </c>
      <c r="F40" t="s">
        <v>16</v>
      </c>
      <c r="G40" t="str">
        <f>PROPER(TRIM(F40))</f>
        <v>Grace Achieng</v>
      </c>
      <c r="H40" t="s">
        <v>17</v>
      </c>
      <c r="I40" t="s">
        <v>18</v>
      </c>
      <c r="J40" t="str">
        <f>PROPER(TRIM(I40))</f>
        <v>20L Jerrycan - Blue</v>
      </c>
      <c r="K40">
        <v>4</v>
      </c>
      <c r="L40">
        <f>IF(K40="",0,K40)</f>
        <v>4</v>
      </c>
      <c r="M40">
        <v>600</v>
      </c>
      <c r="N40">
        <f>IF(M40="",0,M40)</f>
        <v>600</v>
      </c>
      <c r="O40" t="str">
        <f>IF(L40&lt;0,"NEGATIVE QUANTITY","")</f>
        <v/>
      </c>
      <c r="P40">
        <f t="shared" si="0"/>
        <v>4</v>
      </c>
      <c r="Q40">
        <f>VLOOKUP(H40,'Product Cost Lookup'!A:D,4,FALSE)</f>
        <v>350</v>
      </c>
      <c r="R40" t="str">
        <f>VLOOKUP(H40,'Product Cost Lookup'!A:D,3,FALSE)</f>
        <v>Household</v>
      </c>
      <c r="S40">
        <f t="shared" si="1"/>
        <v>2400</v>
      </c>
      <c r="T40">
        <f t="shared" si="5"/>
        <v>1400</v>
      </c>
      <c r="U40">
        <f t="shared" si="2"/>
        <v>1000</v>
      </c>
      <c r="V40" s="3">
        <f t="shared" si="3"/>
        <v>0.41666666666666669</v>
      </c>
      <c r="W40" t="str">
        <f t="shared" si="4"/>
        <v>Jan</v>
      </c>
    </row>
    <row r="41" spans="1:23">
      <c r="A41">
        <v>10311</v>
      </c>
      <c r="B41" s="1">
        <v>45332</v>
      </c>
      <c r="C41">
        <v>45332</v>
      </c>
      <c r="D41" t="s">
        <v>40</v>
      </c>
      <c r="E41" t="str">
        <f>IF(TRIM(D41)="","Unknown",PROPER(TRIM(D41)))</f>
        <v>Thika</v>
      </c>
      <c r="F41" t="s">
        <v>46</v>
      </c>
      <c r="G41" t="str">
        <f>PROPER(TRIM(F41))</f>
        <v>Samuel Kiptoo</v>
      </c>
      <c r="H41" t="s">
        <v>30</v>
      </c>
      <c r="I41" t="s">
        <v>31</v>
      </c>
      <c r="J41" t="str">
        <f>PROPER(TRIM(I41))</f>
        <v>Garden Hose 20M</v>
      </c>
      <c r="K41">
        <v>5</v>
      </c>
      <c r="L41">
        <f>IF(K41="",0,K41)</f>
        <v>5</v>
      </c>
      <c r="M41">
        <v>1800</v>
      </c>
      <c r="N41">
        <f>IF(M41="",0,M41)</f>
        <v>1800</v>
      </c>
      <c r="O41" t="str">
        <f>IF(L41&lt;0,"NEGATIVE QUANTITY","")</f>
        <v/>
      </c>
      <c r="P41">
        <f t="shared" si="0"/>
        <v>5</v>
      </c>
      <c r="Q41">
        <f>VLOOKUP(H41,'Product Cost Lookup'!A:D,4,FALSE)</f>
        <v>1100</v>
      </c>
      <c r="R41" t="str">
        <f>VLOOKUP(H41,'Product Cost Lookup'!A:D,3,FALSE)</f>
        <v>Hardware</v>
      </c>
      <c r="S41">
        <f t="shared" si="1"/>
        <v>9000</v>
      </c>
      <c r="T41">
        <f t="shared" si="5"/>
        <v>5500</v>
      </c>
      <c r="U41">
        <f t="shared" si="2"/>
        <v>3500</v>
      </c>
      <c r="V41" s="3">
        <f t="shared" si="3"/>
        <v>0.3888888888888889</v>
      </c>
      <c r="W41" t="str">
        <f t="shared" si="4"/>
        <v>Feb</v>
      </c>
    </row>
    <row r="42" spans="1:23">
      <c r="A42">
        <v>10170</v>
      </c>
      <c r="B42" s="1">
        <v>45336</v>
      </c>
      <c r="C42">
        <v>45336</v>
      </c>
      <c r="D42" t="s">
        <v>74</v>
      </c>
      <c r="E42" t="str">
        <f>IF(TRIM(D42)="","Unknown",PROPER(TRIM(D42)))</f>
        <v>Nairobi</v>
      </c>
      <c r="F42" t="s">
        <v>84</v>
      </c>
      <c r="G42" t="str">
        <f>PROPER(TRIM(F42))</f>
        <v>Aisha Hassan</v>
      </c>
      <c r="H42" t="s">
        <v>50</v>
      </c>
      <c r="I42" t="s">
        <v>71</v>
      </c>
      <c r="J42" t="str">
        <f>PROPER(TRIM(I42))</f>
        <v>Solar Lantern Sl-200</v>
      </c>
      <c r="K42">
        <v>5</v>
      </c>
      <c r="L42">
        <f>IF(K42="",0,K42)</f>
        <v>5</v>
      </c>
      <c r="M42">
        <v>1500</v>
      </c>
      <c r="N42">
        <f>IF(M42="",0,M42)</f>
        <v>1500</v>
      </c>
      <c r="O42" t="str">
        <f>IF(L42&lt;0,"NEGATIVE QUANTITY","")</f>
        <v/>
      </c>
      <c r="P42">
        <f t="shared" si="0"/>
        <v>5</v>
      </c>
      <c r="Q42">
        <f>VLOOKUP(H42,'Product Cost Lookup'!A:D,4,FALSE)</f>
        <v>900</v>
      </c>
      <c r="R42" t="str">
        <f>VLOOKUP(H42,'Product Cost Lookup'!A:D,3,FALSE)</f>
        <v>Electronics</v>
      </c>
      <c r="S42">
        <f t="shared" si="1"/>
        <v>7500</v>
      </c>
      <c r="T42">
        <f t="shared" si="5"/>
        <v>4500</v>
      </c>
      <c r="U42">
        <f t="shared" si="2"/>
        <v>3000</v>
      </c>
      <c r="V42" s="3">
        <f t="shared" si="3"/>
        <v>0.4</v>
      </c>
      <c r="W42" t="str">
        <f t="shared" si="4"/>
        <v>Feb</v>
      </c>
    </row>
    <row r="43" spans="1:23">
      <c r="A43">
        <v>10044</v>
      </c>
      <c r="B43" s="2">
        <v>45367</v>
      </c>
      <c r="C43">
        <v>45367</v>
      </c>
      <c r="D43" t="s">
        <v>35</v>
      </c>
      <c r="E43" t="str">
        <f>IF(TRIM(D43)="","Unknown",PROPER(TRIM(D43)))</f>
        <v>Kisumu</v>
      </c>
      <c r="F43" t="s">
        <v>85</v>
      </c>
      <c r="G43" t="str">
        <f>PROPER(TRIM(F43))</f>
        <v>Mercy Njeri</v>
      </c>
      <c r="H43" t="s">
        <v>55</v>
      </c>
      <c r="I43" t="s">
        <v>56</v>
      </c>
      <c r="J43" t="str">
        <f>PROPER(TRIM(I43))</f>
        <v>Led Bulb 9W (Pack Of 4)</v>
      </c>
      <c r="K43">
        <v>4</v>
      </c>
      <c r="L43">
        <f>IF(K43="",0,K43)</f>
        <v>4</v>
      </c>
      <c r="M43">
        <v>730</v>
      </c>
      <c r="N43">
        <f>IF(M43="",0,M43)</f>
        <v>730</v>
      </c>
      <c r="O43" t="str">
        <f>IF(L43&lt;0,"NEGATIVE QUANTITY","")</f>
        <v/>
      </c>
      <c r="P43">
        <f t="shared" si="0"/>
        <v>4</v>
      </c>
      <c r="Q43">
        <f>VLOOKUP(H43,'Product Cost Lookup'!A:D,4,FALSE)</f>
        <v>480</v>
      </c>
      <c r="R43" t="str">
        <f>VLOOKUP(H43,'Product Cost Lookup'!A:D,3,FALSE)</f>
        <v>Electronics</v>
      </c>
      <c r="S43">
        <f t="shared" si="1"/>
        <v>2920</v>
      </c>
      <c r="T43">
        <f t="shared" si="5"/>
        <v>1920</v>
      </c>
      <c r="U43">
        <f t="shared" si="2"/>
        <v>1000</v>
      </c>
      <c r="V43" s="3">
        <f t="shared" si="3"/>
        <v>0.34246575342465752</v>
      </c>
      <c r="W43" t="str">
        <f t="shared" si="4"/>
        <v>Mar</v>
      </c>
    </row>
    <row r="44" spans="1:23">
      <c r="A44">
        <v>10213</v>
      </c>
      <c r="B44" s="1">
        <v>45333</v>
      </c>
      <c r="C44">
        <v>45333</v>
      </c>
      <c r="D44" t="s">
        <v>74</v>
      </c>
      <c r="E44" t="str">
        <f>IF(TRIM(D44)="","Unknown",PROPER(TRIM(D44)))</f>
        <v>Nairobi</v>
      </c>
      <c r="F44" t="s">
        <v>62</v>
      </c>
      <c r="G44" t="str">
        <f>PROPER(TRIM(F44))</f>
        <v>John Mwangi</v>
      </c>
      <c r="H44" t="s">
        <v>53</v>
      </c>
      <c r="I44" t="s">
        <v>54</v>
      </c>
      <c r="J44" t="str">
        <f>PROPER(TRIM(I44))</f>
        <v>Rechargeable Torch Rt-10</v>
      </c>
      <c r="K44">
        <v>15</v>
      </c>
      <c r="L44">
        <f>IF(K44="",0,K44)</f>
        <v>15</v>
      </c>
      <c r="M44">
        <v>950</v>
      </c>
      <c r="N44">
        <f>IF(M44="",0,M44)</f>
        <v>950</v>
      </c>
      <c r="O44" t="str">
        <f>IF(L44&lt;0,"NEGATIVE QUANTITY","")</f>
        <v/>
      </c>
      <c r="P44">
        <f t="shared" si="0"/>
        <v>15</v>
      </c>
      <c r="Q44">
        <f>VLOOKUP(H44,'Product Cost Lookup'!A:D,4,FALSE)</f>
        <v>600</v>
      </c>
      <c r="R44" t="str">
        <f>VLOOKUP(H44,'Product Cost Lookup'!A:D,3,FALSE)</f>
        <v>Electronics</v>
      </c>
      <c r="S44">
        <f t="shared" si="1"/>
        <v>14250</v>
      </c>
      <c r="T44">
        <f t="shared" si="5"/>
        <v>9000</v>
      </c>
      <c r="U44">
        <f t="shared" si="2"/>
        <v>5250</v>
      </c>
      <c r="V44" s="3">
        <f t="shared" si="3"/>
        <v>0.36842105263157893</v>
      </c>
      <c r="W44" t="str">
        <f t="shared" si="4"/>
        <v>Feb</v>
      </c>
    </row>
    <row r="45" spans="1:23">
      <c r="A45">
        <v>10003</v>
      </c>
      <c r="B45" s="1">
        <v>45335</v>
      </c>
      <c r="C45">
        <v>45335</v>
      </c>
      <c r="D45" t="s">
        <v>74</v>
      </c>
      <c r="E45" t="str">
        <f>IF(TRIM(D45)="","Unknown",PROPER(TRIM(D45)))</f>
        <v>Nairobi</v>
      </c>
      <c r="F45" t="s">
        <v>16</v>
      </c>
      <c r="G45" t="str">
        <f>PROPER(TRIM(F45))</f>
        <v>Grace Achieng</v>
      </c>
      <c r="H45" t="s">
        <v>65</v>
      </c>
      <c r="I45" t="s">
        <v>73</v>
      </c>
      <c r="J45" t="str">
        <f>PROPER(TRIM(I45))</f>
        <v>Mosquito Net - Family Size</v>
      </c>
      <c r="K45">
        <v>2</v>
      </c>
      <c r="L45">
        <f>IF(K45="",0,K45)</f>
        <v>2</v>
      </c>
      <c r="M45">
        <v>650</v>
      </c>
      <c r="N45">
        <f>IF(M45="",0,M45)</f>
        <v>650</v>
      </c>
      <c r="O45" t="str">
        <f>IF(L45&lt;0,"NEGATIVE QUANTITY","")</f>
        <v/>
      </c>
      <c r="P45">
        <f t="shared" si="0"/>
        <v>2</v>
      </c>
      <c r="Q45">
        <f>VLOOKUP(H45,'Product Cost Lookup'!A:D,4,FALSE)</f>
        <v>400</v>
      </c>
      <c r="R45" t="str">
        <f>VLOOKUP(H45,'Product Cost Lookup'!A:D,3,FALSE)</f>
        <v>Household</v>
      </c>
      <c r="S45">
        <f t="shared" si="1"/>
        <v>1300</v>
      </c>
      <c r="T45">
        <f t="shared" si="5"/>
        <v>800</v>
      </c>
      <c r="U45">
        <f t="shared" si="2"/>
        <v>500</v>
      </c>
      <c r="V45" s="3">
        <f t="shared" si="3"/>
        <v>0.38461538461538464</v>
      </c>
      <c r="W45" t="str">
        <f t="shared" si="4"/>
        <v>Feb</v>
      </c>
    </row>
    <row r="46" spans="1:23">
      <c r="A46">
        <v>10284</v>
      </c>
      <c r="B46" s="1">
        <v>45358</v>
      </c>
      <c r="C46">
        <v>45358</v>
      </c>
      <c r="D46" t="s">
        <v>40</v>
      </c>
      <c r="E46" t="str">
        <f>IF(TRIM(D46)="","Unknown",PROPER(TRIM(D46)))</f>
        <v>Thika</v>
      </c>
      <c r="F46" t="s">
        <v>86</v>
      </c>
      <c r="G46" t="str">
        <f>PROPER(TRIM(F46))</f>
        <v>Samuel Kiptoo</v>
      </c>
      <c r="H46" t="s">
        <v>55</v>
      </c>
      <c r="I46" t="s">
        <v>56</v>
      </c>
      <c r="J46" t="str">
        <f>PROPER(TRIM(I46))</f>
        <v>Led Bulb 9W (Pack Of 4)</v>
      </c>
      <c r="K46">
        <v>5</v>
      </c>
      <c r="L46">
        <f>IF(K46="",0,K46)</f>
        <v>5</v>
      </c>
      <c r="M46">
        <v>880</v>
      </c>
      <c r="N46">
        <f>IF(M46="",0,M46)</f>
        <v>880</v>
      </c>
      <c r="O46" t="str">
        <f>IF(L46&lt;0,"NEGATIVE QUANTITY","")</f>
        <v/>
      </c>
      <c r="P46">
        <f t="shared" si="0"/>
        <v>5</v>
      </c>
      <c r="Q46">
        <f>VLOOKUP(H46,'Product Cost Lookup'!A:D,4,FALSE)</f>
        <v>480</v>
      </c>
      <c r="R46" t="str">
        <f>VLOOKUP(H46,'Product Cost Lookup'!A:D,3,FALSE)</f>
        <v>Electronics</v>
      </c>
      <c r="S46">
        <f t="shared" si="1"/>
        <v>4400</v>
      </c>
      <c r="T46">
        <f t="shared" si="5"/>
        <v>2400</v>
      </c>
      <c r="U46">
        <f t="shared" si="2"/>
        <v>2000</v>
      </c>
      <c r="V46" s="3">
        <f t="shared" si="3"/>
        <v>0.45454545454545453</v>
      </c>
      <c r="W46" t="str">
        <f t="shared" si="4"/>
        <v>Mar</v>
      </c>
    </row>
    <row r="47" spans="1:23">
      <c r="A47">
        <v>10125</v>
      </c>
      <c r="B47" t="s">
        <v>87</v>
      </c>
      <c r="C47">
        <v>45309</v>
      </c>
      <c r="D47" t="s">
        <v>29</v>
      </c>
      <c r="E47" t="str">
        <f>IF(TRIM(D47)="","Unknown",PROPER(TRIM(D47)))</f>
        <v>Thika</v>
      </c>
      <c r="F47" t="s">
        <v>88</v>
      </c>
      <c r="G47" t="str">
        <f>PROPER(TRIM(F47))</f>
        <v>Mercy Njeri</v>
      </c>
      <c r="H47" t="s">
        <v>10</v>
      </c>
      <c r="I47" t="s">
        <v>11</v>
      </c>
      <c r="J47" t="str">
        <f>PROPER(TRIM(I47))</f>
        <v>Kitchen Knife Set</v>
      </c>
      <c r="K47">
        <v>10</v>
      </c>
      <c r="L47">
        <f>IF(K47="",0,K47)</f>
        <v>10</v>
      </c>
      <c r="M47">
        <v>1400</v>
      </c>
      <c r="N47">
        <f>IF(M47="",0,M47)</f>
        <v>1400</v>
      </c>
      <c r="O47" t="str">
        <f>IF(L47&lt;0,"NEGATIVE QUANTITY","")</f>
        <v/>
      </c>
      <c r="P47">
        <f t="shared" si="0"/>
        <v>10</v>
      </c>
      <c r="Q47">
        <f>VLOOKUP(H47,'Product Cost Lookup'!A:D,4,FALSE)</f>
        <v>800</v>
      </c>
      <c r="R47" t="str">
        <f>VLOOKUP(H47,'Product Cost Lookup'!A:D,3,FALSE)</f>
        <v>Kitchenware</v>
      </c>
      <c r="S47">
        <f t="shared" si="1"/>
        <v>14000</v>
      </c>
      <c r="T47">
        <f t="shared" si="5"/>
        <v>8000</v>
      </c>
      <c r="U47">
        <f t="shared" si="2"/>
        <v>6000</v>
      </c>
      <c r="V47" s="3">
        <f t="shared" si="3"/>
        <v>0.42857142857142855</v>
      </c>
      <c r="W47" t="str">
        <f t="shared" si="4"/>
        <v>Jan</v>
      </c>
    </row>
    <row r="48" spans="1:23">
      <c r="A48">
        <v>10173</v>
      </c>
      <c r="B48" s="1">
        <v>45367</v>
      </c>
      <c r="C48">
        <v>45367</v>
      </c>
      <c r="D48" t="s">
        <v>41</v>
      </c>
      <c r="E48" t="str">
        <f>IF(TRIM(D48)="","Unknown",PROPER(TRIM(D48)))</f>
        <v>Nakuru</v>
      </c>
      <c r="F48" t="s">
        <v>48</v>
      </c>
      <c r="G48" t="str">
        <f>PROPER(TRIM(F48))</f>
        <v>Brian Mutua</v>
      </c>
      <c r="H48" t="s">
        <v>17</v>
      </c>
      <c r="I48" t="s">
        <v>18</v>
      </c>
      <c r="J48" t="str">
        <f>PROPER(TRIM(I48))</f>
        <v>20L Jerrycan - Blue</v>
      </c>
      <c r="K48">
        <v>4</v>
      </c>
      <c r="L48">
        <f>IF(K48="",0,K48)</f>
        <v>4</v>
      </c>
      <c r="M48">
        <v>550</v>
      </c>
      <c r="N48">
        <f>IF(M48="",0,M48)</f>
        <v>550</v>
      </c>
      <c r="O48" t="str">
        <f>IF(L48&lt;0,"NEGATIVE QUANTITY","")</f>
        <v/>
      </c>
      <c r="P48">
        <f t="shared" si="0"/>
        <v>4</v>
      </c>
      <c r="Q48">
        <f>VLOOKUP(H48,'Product Cost Lookup'!A:D,4,FALSE)</f>
        <v>350</v>
      </c>
      <c r="R48" t="str">
        <f>VLOOKUP(H48,'Product Cost Lookup'!A:D,3,FALSE)</f>
        <v>Household</v>
      </c>
      <c r="S48">
        <f t="shared" si="1"/>
        <v>2200</v>
      </c>
      <c r="T48">
        <f t="shared" si="5"/>
        <v>1400</v>
      </c>
      <c r="U48">
        <f t="shared" si="2"/>
        <v>800</v>
      </c>
      <c r="V48" s="3">
        <f t="shared" si="3"/>
        <v>0.36363636363636365</v>
      </c>
      <c r="W48" t="str">
        <f t="shared" si="4"/>
        <v>Mar</v>
      </c>
    </row>
    <row r="49" spans="1:23">
      <c r="A49">
        <v>10312</v>
      </c>
      <c r="B49" s="1">
        <v>45294</v>
      </c>
      <c r="C49">
        <v>45294</v>
      </c>
      <c r="D49" t="s">
        <v>15</v>
      </c>
      <c r="E49" t="str">
        <f>IF(TRIM(D49)="","Unknown",PROPER(TRIM(D49)))</f>
        <v>Mombasa</v>
      </c>
      <c r="F49" t="s">
        <v>52</v>
      </c>
      <c r="G49" t="str">
        <f>PROPER(TRIM(F49))</f>
        <v>Faith Wanjiru</v>
      </c>
      <c r="H49" t="s">
        <v>33</v>
      </c>
      <c r="I49" t="s">
        <v>60</v>
      </c>
      <c r="J49" t="str">
        <f>PROPER(TRIM(I49))</f>
        <v>Padlock Set (3Pc)</v>
      </c>
      <c r="K49">
        <v>5</v>
      </c>
      <c r="L49">
        <f>IF(K49="",0,K49)</f>
        <v>5</v>
      </c>
      <c r="M49">
        <v>650</v>
      </c>
      <c r="N49">
        <f>IF(M49="",0,M49)</f>
        <v>650</v>
      </c>
      <c r="O49" t="str">
        <f>IF(L49&lt;0,"NEGATIVE QUANTITY","")</f>
        <v/>
      </c>
      <c r="P49">
        <f t="shared" si="0"/>
        <v>5</v>
      </c>
      <c r="Q49">
        <f>VLOOKUP(H49,'Product Cost Lookup'!A:D,4,FALSE)</f>
        <v>450</v>
      </c>
      <c r="R49" t="str">
        <f>VLOOKUP(H49,'Product Cost Lookup'!A:D,3,FALSE)</f>
        <v>Hardware</v>
      </c>
      <c r="S49">
        <f t="shared" si="1"/>
        <v>3250</v>
      </c>
      <c r="T49">
        <f t="shared" si="5"/>
        <v>2250</v>
      </c>
      <c r="U49">
        <f t="shared" si="2"/>
        <v>1000</v>
      </c>
      <c r="V49" s="3">
        <f t="shared" si="3"/>
        <v>0.30769230769230771</v>
      </c>
      <c r="W49" t="str">
        <f t="shared" si="4"/>
        <v>Jan</v>
      </c>
    </row>
    <row r="50" spans="1:23">
      <c r="A50">
        <v>10115</v>
      </c>
      <c r="B50" s="1">
        <v>45599</v>
      </c>
      <c r="C50">
        <v>45599</v>
      </c>
      <c r="D50" t="s">
        <v>15</v>
      </c>
      <c r="E50" t="str">
        <f>IF(TRIM(D50)="","Unknown",PROPER(TRIM(D50)))</f>
        <v>Mombasa</v>
      </c>
      <c r="F50" t="s">
        <v>20</v>
      </c>
      <c r="G50" t="str">
        <f>PROPER(TRIM(F50))</f>
        <v>Grace Achieng</v>
      </c>
      <c r="H50" t="s">
        <v>50</v>
      </c>
      <c r="I50" t="s">
        <v>89</v>
      </c>
      <c r="J50" t="str">
        <f>PROPER(TRIM(I50))</f>
        <v>Solar Lantern Sl-200</v>
      </c>
      <c r="K50">
        <v>5</v>
      </c>
      <c r="L50">
        <f>IF(K50="",0,K50)</f>
        <v>5</v>
      </c>
      <c r="M50">
        <v>1500</v>
      </c>
      <c r="N50">
        <f>IF(M50="",0,M50)</f>
        <v>1500</v>
      </c>
      <c r="O50" t="str">
        <f>IF(L50&lt;0,"NEGATIVE QUANTITY","")</f>
        <v/>
      </c>
      <c r="P50">
        <f t="shared" si="0"/>
        <v>5</v>
      </c>
      <c r="Q50">
        <f>VLOOKUP(H50,'Product Cost Lookup'!A:D,4,FALSE)</f>
        <v>900</v>
      </c>
      <c r="R50" t="str">
        <f>VLOOKUP(H50,'Product Cost Lookup'!A:D,3,FALSE)</f>
        <v>Electronics</v>
      </c>
      <c r="S50">
        <f t="shared" si="1"/>
        <v>7500</v>
      </c>
      <c r="T50">
        <f t="shared" si="5"/>
        <v>4500</v>
      </c>
      <c r="U50">
        <f t="shared" si="2"/>
        <v>3000</v>
      </c>
      <c r="V50" s="3">
        <f t="shared" si="3"/>
        <v>0.4</v>
      </c>
      <c r="W50" t="str">
        <f t="shared" si="4"/>
        <v>Nov</v>
      </c>
    </row>
    <row r="51" spans="1:23">
      <c r="A51">
        <v>10291</v>
      </c>
      <c r="B51" s="1">
        <v>45353</v>
      </c>
      <c r="C51">
        <v>45353</v>
      </c>
      <c r="D51" t="s">
        <v>41</v>
      </c>
      <c r="E51" t="str">
        <f>IF(TRIM(D51)="","Unknown",PROPER(TRIM(D51)))</f>
        <v>Nakuru</v>
      </c>
      <c r="F51" t="s">
        <v>24</v>
      </c>
      <c r="G51" t="str">
        <f>PROPER(TRIM(F51))</f>
        <v>Mercy Njeri</v>
      </c>
      <c r="H51" t="s">
        <v>90</v>
      </c>
      <c r="I51" t="s">
        <v>91</v>
      </c>
      <c r="J51" t="str">
        <f>PROPER(TRIM(I51))</f>
        <v>Wheelbarrow Heavy Duty</v>
      </c>
      <c r="K51">
        <v>15</v>
      </c>
      <c r="L51">
        <f>IF(K51="",0,K51)</f>
        <v>15</v>
      </c>
      <c r="M51">
        <v>5150</v>
      </c>
      <c r="N51">
        <f>IF(M51="",0,M51)</f>
        <v>5150</v>
      </c>
      <c r="O51" t="str">
        <f>IF(L51&lt;0,"NEGATIVE QUANTITY","")</f>
        <v/>
      </c>
      <c r="P51">
        <f t="shared" si="0"/>
        <v>15</v>
      </c>
      <c r="Q51">
        <f>VLOOKUP(H51,'Product Cost Lookup'!A:D,4,FALSE)</f>
        <v>3500</v>
      </c>
      <c r="R51" t="str">
        <f>VLOOKUP(H51,'Product Cost Lookup'!A:D,3,FALSE)</f>
        <v>Hardware</v>
      </c>
      <c r="S51">
        <f t="shared" si="1"/>
        <v>77250</v>
      </c>
      <c r="T51">
        <f t="shared" si="5"/>
        <v>52500</v>
      </c>
      <c r="U51">
        <f t="shared" si="2"/>
        <v>24750</v>
      </c>
      <c r="V51" s="3">
        <f t="shared" si="3"/>
        <v>0.32038834951456313</v>
      </c>
      <c r="W51" t="str">
        <f t="shared" si="4"/>
        <v>Mar</v>
      </c>
    </row>
    <row r="52" spans="1:23">
      <c r="A52">
        <v>10234</v>
      </c>
      <c r="B52" s="2">
        <v>45376</v>
      </c>
      <c r="C52">
        <v>45376</v>
      </c>
      <c r="D52" t="s">
        <v>92</v>
      </c>
      <c r="E52" t="str">
        <f>IF(TRIM(D52)="","Unknown",PROPER(TRIM(D52)))</f>
        <v>Kisumu</v>
      </c>
      <c r="F52" t="s">
        <v>46</v>
      </c>
      <c r="G52" t="str">
        <f>PROPER(TRIM(F52))</f>
        <v>Samuel Kiptoo</v>
      </c>
      <c r="H52" t="s">
        <v>93</v>
      </c>
      <c r="I52" t="s">
        <v>94</v>
      </c>
      <c r="J52" t="str">
        <f>PROPER(TRIM(I52))</f>
        <v>Non-Stick Frying Pan 28Cm</v>
      </c>
      <c r="K52">
        <v>20</v>
      </c>
      <c r="L52">
        <f>IF(K52="",0,K52)</f>
        <v>20</v>
      </c>
      <c r="M52">
        <v>1050</v>
      </c>
      <c r="N52">
        <f>IF(M52="",0,M52)</f>
        <v>1050</v>
      </c>
      <c r="O52" t="str">
        <f>IF(L52&lt;0,"NEGATIVE QUANTITY","")</f>
        <v/>
      </c>
      <c r="P52">
        <f t="shared" si="0"/>
        <v>20</v>
      </c>
      <c r="Q52">
        <f>VLOOKUP(H52,'Product Cost Lookup'!A:D,4,FALSE)</f>
        <v>700</v>
      </c>
      <c r="R52" t="str">
        <f>VLOOKUP(H52,'Product Cost Lookup'!A:D,3,FALSE)</f>
        <v>Kitchenware</v>
      </c>
      <c r="S52">
        <f t="shared" si="1"/>
        <v>21000</v>
      </c>
      <c r="T52">
        <f t="shared" si="5"/>
        <v>14000</v>
      </c>
      <c r="U52">
        <f t="shared" si="2"/>
        <v>7000</v>
      </c>
      <c r="V52" s="3">
        <f t="shared" si="3"/>
        <v>0.33333333333333331</v>
      </c>
      <c r="W52" t="str">
        <f t="shared" si="4"/>
        <v>Mar</v>
      </c>
    </row>
    <row r="53" spans="1:23">
      <c r="A53">
        <v>10335</v>
      </c>
      <c r="B53" s="2">
        <v>45374</v>
      </c>
      <c r="C53">
        <v>45374</v>
      </c>
      <c r="D53" t="s">
        <v>95</v>
      </c>
      <c r="E53" t="str">
        <f>IF(TRIM(D53)="","Unknown",PROPER(TRIM(D53)))</f>
        <v>Kisumu</v>
      </c>
      <c r="F53" t="s">
        <v>62</v>
      </c>
      <c r="G53" t="str">
        <f>PROPER(TRIM(F53))</f>
        <v>John Mwangi</v>
      </c>
      <c r="H53" t="s">
        <v>30</v>
      </c>
      <c r="I53" t="s">
        <v>31</v>
      </c>
      <c r="J53" t="str">
        <f>PROPER(TRIM(I53))</f>
        <v>Garden Hose 20M</v>
      </c>
      <c r="K53">
        <v>15</v>
      </c>
      <c r="L53">
        <f>IF(K53="",0,K53)</f>
        <v>15</v>
      </c>
      <c r="M53">
        <v>1750</v>
      </c>
      <c r="N53">
        <f>IF(M53="",0,M53)</f>
        <v>1750</v>
      </c>
      <c r="O53" t="str">
        <f>IF(L53&lt;0,"NEGATIVE QUANTITY","")</f>
        <v/>
      </c>
      <c r="P53">
        <f t="shared" si="0"/>
        <v>15</v>
      </c>
      <c r="Q53">
        <f>VLOOKUP(H53,'Product Cost Lookup'!A:D,4,FALSE)</f>
        <v>1100</v>
      </c>
      <c r="R53" t="str">
        <f>VLOOKUP(H53,'Product Cost Lookup'!A:D,3,FALSE)</f>
        <v>Hardware</v>
      </c>
      <c r="S53">
        <f t="shared" si="1"/>
        <v>26250</v>
      </c>
      <c r="T53">
        <f t="shared" si="5"/>
        <v>16500</v>
      </c>
      <c r="U53">
        <f t="shared" si="2"/>
        <v>9750</v>
      </c>
      <c r="V53" s="3">
        <f t="shared" si="3"/>
        <v>0.37142857142857144</v>
      </c>
      <c r="W53" t="str">
        <f t="shared" si="4"/>
        <v>Mar</v>
      </c>
    </row>
    <row r="54" spans="1:23">
      <c r="A54">
        <v>10041</v>
      </c>
      <c r="B54" s="2">
        <v>45312</v>
      </c>
      <c r="C54">
        <v>45312</v>
      </c>
      <c r="D54" t="s">
        <v>35</v>
      </c>
      <c r="E54" t="str">
        <f>IF(TRIM(D54)="","Unknown",PROPER(TRIM(D54)))</f>
        <v>Kisumu</v>
      </c>
      <c r="F54" t="s">
        <v>16</v>
      </c>
      <c r="G54" t="str">
        <f>PROPER(TRIM(F54))</f>
        <v>Grace Achieng</v>
      </c>
      <c r="H54" t="s">
        <v>90</v>
      </c>
      <c r="I54" t="s">
        <v>96</v>
      </c>
      <c r="J54" t="str">
        <f>PROPER(TRIM(I54))</f>
        <v>Wheelbarrow - Heavy Duty</v>
      </c>
      <c r="K54">
        <v>1</v>
      </c>
      <c r="L54">
        <f>IF(K54="",0,K54)</f>
        <v>1</v>
      </c>
      <c r="M54">
        <v>5200</v>
      </c>
      <c r="N54">
        <f>IF(M54="",0,M54)</f>
        <v>5200</v>
      </c>
      <c r="O54" t="str">
        <f>IF(L54&lt;0,"NEGATIVE QUANTITY","")</f>
        <v/>
      </c>
      <c r="P54">
        <f t="shared" si="0"/>
        <v>1</v>
      </c>
      <c r="Q54">
        <f>VLOOKUP(H54,'Product Cost Lookup'!A:D,4,FALSE)</f>
        <v>3500</v>
      </c>
      <c r="R54" t="str">
        <f>VLOOKUP(H54,'Product Cost Lookup'!A:D,3,FALSE)</f>
        <v>Hardware</v>
      </c>
      <c r="S54">
        <f t="shared" si="1"/>
        <v>5200</v>
      </c>
      <c r="T54">
        <f t="shared" si="5"/>
        <v>3500</v>
      </c>
      <c r="U54">
        <f t="shared" si="2"/>
        <v>1700</v>
      </c>
      <c r="V54" s="3">
        <f t="shared" si="3"/>
        <v>0.32692307692307693</v>
      </c>
      <c r="W54" t="str">
        <f t="shared" si="4"/>
        <v>Jan</v>
      </c>
    </row>
    <row r="55" spans="1:23">
      <c r="A55">
        <v>10093</v>
      </c>
      <c r="B55" s="1">
        <v>45445</v>
      </c>
      <c r="C55">
        <v>45445</v>
      </c>
      <c r="D55" t="s">
        <v>74</v>
      </c>
      <c r="E55" t="str">
        <f>IF(TRIM(D55)="","Unknown",PROPER(TRIM(D55)))</f>
        <v>Nairobi</v>
      </c>
      <c r="F55" t="s">
        <v>16</v>
      </c>
      <c r="G55" t="str">
        <f>PROPER(TRIM(F55))</f>
        <v>Grace Achieng</v>
      </c>
      <c r="H55" t="s">
        <v>90</v>
      </c>
      <c r="I55" t="s">
        <v>96</v>
      </c>
      <c r="J55" t="str">
        <f>PROPER(TRIM(I55))</f>
        <v>Wheelbarrow - Heavy Duty</v>
      </c>
      <c r="K55">
        <v>15</v>
      </c>
      <c r="L55">
        <f>IF(K55="",0,K55)</f>
        <v>15</v>
      </c>
      <c r="M55">
        <v>5300</v>
      </c>
      <c r="N55">
        <f>IF(M55="",0,M55)</f>
        <v>5300</v>
      </c>
      <c r="O55" t="str">
        <f>IF(L55&lt;0,"NEGATIVE QUANTITY","")</f>
        <v/>
      </c>
      <c r="P55">
        <f t="shared" si="0"/>
        <v>15</v>
      </c>
      <c r="Q55">
        <f>VLOOKUP(H55,'Product Cost Lookup'!A:D,4,FALSE)</f>
        <v>3500</v>
      </c>
      <c r="R55" t="str">
        <f>VLOOKUP(H55,'Product Cost Lookup'!A:D,3,FALSE)</f>
        <v>Hardware</v>
      </c>
      <c r="S55">
        <f t="shared" si="1"/>
        <v>79500</v>
      </c>
      <c r="T55">
        <f t="shared" si="5"/>
        <v>52500</v>
      </c>
      <c r="U55">
        <f t="shared" si="2"/>
        <v>27000</v>
      </c>
      <c r="V55" s="3">
        <f t="shared" si="3"/>
        <v>0.33962264150943394</v>
      </c>
      <c r="W55" t="str">
        <f t="shared" si="4"/>
        <v>Jun</v>
      </c>
    </row>
    <row r="56" spans="1:23">
      <c r="A56">
        <v>10018</v>
      </c>
      <c r="B56" s="1">
        <v>45446</v>
      </c>
      <c r="C56">
        <v>45446</v>
      </c>
      <c r="D56" t="s">
        <v>74</v>
      </c>
      <c r="E56" t="str">
        <f>IF(TRIM(D56)="","Unknown",PROPER(TRIM(D56)))</f>
        <v>Nairobi</v>
      </c>
      <c r="F56" t="s">
        <v>9</v>
      </c>
      <c r="G56" t="str">
        <f>PROPER(TRIM(F56))</f>
        <v>Peter Otieno</v>
      </c>
      <c r="H56" t="s">
        <v>50</v>
      </c>
      <c r="I56" t="s">
        <v>89</v>
      </c>
      <c r="J56" t="str">
        <f>PROPER(TRIM(I56))</f>
        <v>Solar Lantern Sl-200</v>
      </c>
      <c r="K56">
        <v>15</v>
      </c>
      <c r="L56">
        <f>IF(K56="",0,K56)</f>
        <v>15</v>
      </c>
      <c r="M56">
        <v>1400</v>
      </c>
      <c r="N56">
        <f>IF(M56="",0,M56)</f>
        <v>1400</v>
      </c>
      <c r="O56" t="str">
        <f>IF(L56&lt;0,"NEGATIVE QUANTITY","")</f>
        <v/>
      </c>
      <c r="P56">
        <f t="shared" si="0"/>
        <v>15</v>
      </c>
      <c r="Q56">
        <f>VLOOKUP(H56,'Product Cost Lookup'!A:D,4,FALSE)</f>
        <v>900</v>
      </c>
      <c r="R56" t="str">
        <f>VLOOKUP(H56,'Product Cost Lookup'!A:D,3,FALSE)</f>
        <v>Electronics</v>
      </c>
      <c r="S56">
        <f t="shared" si="1"/>
        <v>21000</v>
      </c>
      <c r="T56">
        <f t="shared" si="5"/>
        <v>13500</v>
      </c>
      <c r="U56">
        <f t="shared" si="2"/>
        <v>7500</v>
      </c>
      <c r="V56" s="3">
        <f t="shared" si="3"/>
        <v>0.35714285714285715</v>
      </c>
      <c r="W56" t="str">
        <f t="shared" si="4"/>
        <v>Jun</v>
      </c>
    </row>
    <row r="57" spans="1:23">
      <c r="A57">
        <v>10209</v>
      </c>
      <c r="B57" s="1">
        <v>45337</v>
      </c>
      <c r="C57">
        <v>45337</v>
      </c>
      <c r="E57" t="str">
        <f>IF(TRIM(D57)="","Unknown",PROPER(TRIM(D57)))</f>
        <v>Unknown</v>
      </c>
      <c r="F57" t="s">
        <v>81</v>
      </c>
      <c r="G57" t="str">
        <f>PROPER(TRIM(F57))</f>
        <v>Aisha Hassan</v>
      </c>
      <c r="H57" t="s">
        <v>25</v>
      </c>
      <c r="I57" t="s">
        <v>97</v>
      </c>
      <c r="J57" t="str">
        <f>PROPER(TRIM(I57))</f>
        <v>Plastic Storage Basket (L)</v>
      </c>
      <c r="K57">
        <v>15</v>
      </c>
      <c r="L57">
        <f>IF(K57="",0,K57)</f>
        <v>15</v>
      </c>
      <c r="M57">
        <v>520</v>
      </c>
      <c r="N57">
        <f>IF(M57="",0,M57)</f>
        <v>520</v>
      </c>
      <c r="O57" t="str">
        <f>IF(L57&lt;0,"NEGATIVE QUANTITY","")</f>
        <v/>
      </c>
      <c r="P57">
        <f t="shared" si="0"/>
        <v>15</v>
      </c>
      <c r="Q57">
        <f>VLOOKUP(H57,'Product Cost Lookup'!A:D,4,FALSE)</f>
        <v>250</v>
      </c>
      <c r="R57" t="str">
        <f>VLOOKUP(H57,'Product Cost Lookup'!A:D,3,FALSE)</f>
        <v>Household</v>
      </c>
      <c r="S57">
        <f t="shared" si="1"/>
        <v>7800</v>
      </c>
      <c r="T57">
        <f t="shared" si="5"/>
        <v>3750</v>
      </c>
      <c r="U57">
        <f t="shared" si="2"/>
        <v>4050</v>
      </c>
      <c r="V57" s="3">
        <f t="shared" si="3"/>
        <v>0.51923076923076927</v>
      </c>
      <c r="W57" t="str">
        <f t="shared" si="4"/>
        <v>Feb</v>
      </c>
    </row>
    <row r="58" spans="1:23">
      <c r="A58">
        <v>10298</v>
      </c>
      <c r="B58" s="1">
        <v>45358</v>
      </c>
      <c r="C58">
        <v>45358</v>
      </c>
      <c r="D58" t="s">
        <v>98</v>
      </c>
      <c r="E58" t="str">
        <f>IF(TRIM(D58)="","Unknown",PROPER(TRIM(D58)))</f>
        <v>Nairobi</v>
      </c>
      <c r="F58" t="s">
        <v>16</v>
      </c>
      <c r="G58" t="str">
        <f>PROPER(TRIM(F58))</f>
        <v>Grace Achieng</v>
      </c>
      <c r="H58" t="s">
        <v>21</v>
      </c>
      <c r="I58" t="s">
        <v>99</v>
      </c>
      <c r="J58" t="str">
        <f>PROPER(TRIM(I58))</f>
        <v>Water Dispenser Stand</v>
      </c>
      <c r="K58">
        <v>2</v>
      </c>
      <c r="L58">
        <f>IF(K58="",0,K58)</f>
        <v>2</v>
      </c>
      <c r="M58">
        <v>2400</v>
      </c>
      <c r="N58">
        <f>IF(M58="",0,M58)</f>
        <v>2400</v>
      </c>
      <c r="O58" t="str">
        <f>IF(L58&lt;0,"NEGATIVE QUANTITY","")</f>
        <v/>
      </c>
      <c r="P58">
        <f t="shared" si="0"/>
        <v>2</v>
      </c>
      <c r="Q58">
        <f>VLOOKUP(H58,'Product Cost Lookup'!A:D,4,FALSE)</f>
        <v>1500</v>
      </c>
      <c r="R58" t="str">
        <f>VLOOKUP(H58,'Product Cost Lookup'!A:D,3,FALSE)</f>
        <v>Household</v>
      </c>
      <c r="S58">
        <f t="shared" si="1"/>
        <v>4800</v>
      </c>
      <c r="T58">
        <f t="shared" si="5"/>
        <v>3000</v>
      </c>
      <c r="U58">
        <f t="shared" si="2"/>
        <v>1800</v>
      </c>
      <c r="V58" s="3">
        <f t="shared" si="3"/>
        <v>0.375</v>
      </c>
      <c r="W58" t="str">
        <f t="shared" si="4"/>
        <v>Mar</v>
      </c>
    </row>
    <row r="59" spans="1:23">
      <c r="A59">
        <v>10080</v>
      </c>
      <c r="B59" s="1">
        <v>45356</v>
      </c>
      <c r="C59">
        <v>45356</v>
      </c>
      <c r="D59" t="s">
        <v>100</v>
      </c>
      <c r="E59" t="str">
        <f>IF(TRIM(D59)="","Unknown",PROPER(TRIM(D59)))</f>
        <v>Eldoret</v>
      </c>
      <c r="F59" t="s">
        <v>48</v>
      </c>
      <c r="G59" t="str">
        <f>PROPER(TRIM(F59))</f>
        <v>Brian Mutua</v>
      </c>
      <c r="H59" t="s">
        <v>50</v>
      </c>
      <c r="I59" t="s">
        <v>71</v>
      </c>
      <c r="J59" t="str">
        <f>PROPER(TRIM(I59))</f>
        <v>Solar Lantern Sl-200</v>
      </c>
      <c r="K59">
        <v>2</v>
      </c>
      <c r="L59">
        <f>IF(K59="",0,K59)</f>
        <v>2</v>
      </c>
      <c r="M59">
        <v>1550</v>
      </c>
      <c r="N59">
        <f>IF(M59="",0,M59)</f>
        <v>1550</v>
      </c>
      <c r="O59" t="str">
        <f>IF(L59&lt;0,"NEGATIVE QUANTITY","")</f>
        <v/>
      </c>
      <c r="P59">
        <f t="shared" si="0"/>
        <v>2</v>
      </c>
      <c r="Q59">
        <f>VLOOKUP(H59,'Product Cost Lookup'!A:D,4,FALSE)</f>
        <v>900</v>
      </c>
      <c r="R59" t="str">
        <f>VLOOKUP(H59,'Product Cost Lookup'!A:D,3,FALSE)</f>
        <v>Electronics</v>
      </c>
      <c r="S59">
        <f t="shared" si="1"/>
        <v>3100</v>
      </c>
      <c r="T59">
        <f t="shared" si="5"/>
        <v>1800</v>
      </c>
      <c r="U59">
        <f t="shared" si="2"/>
        <v>1300</v>
      </c>
      <c r="V59" s="3">
        <f t="shared" si="3"/>
        <v>0.41935483870967744</v>
      </c>
      <c r="W59" t="str">
        <f t="shared" si="4"/>
        <v>Mar</v>
      </c>
    </row>
    <row r="60" spans="1:23">
      <c r="A60">
        <v>10099</v>
      </c>
      <c r="B60" s="1">
        <v>45378</v>
      </c>
      <c r="C60">
        <v>45378</v>
      </c>
      <c r="D60" t="s">
        <v>101</v>
      </c>
      <c r="E60" t="str">
        <f>IF(TRIM(D60)="","Unknown",PROPER(TRIM(D60)))</f>
        <v>Thika</v>
      </c>
      <c r="F60" t="s">
        <v>102</v>
      </c>
      <c r="G60" t="str">
        <f>PROPER(TRIM(F60))</f>
        <v>Faith Wanjiru</v>
      </c>
      <c r="H60" t="s">
        <v>38</v>
      </c>
      <c r="I60" t="s">
        <v>39</v>
      </c>
      <c r="J60" t="str">
        <f>PROPER(TRIM(I60))</f>
        <v>Usb Wall Charger Uc-5</v>
      </c>
      <c r="K60">
        <v>15</v>
      </c>
      <c r="L60">
        <f>IF(K60="",0,K60)</f>
        <v>15</v>
      </c>
      <c r="M60">
        <v>500</v>
      </c>
      <c r="N60">
        <f>IF(M60="",0,M60)</f>
        <v>500</v>
      </c>
      <c r="O60" t="str">
        <f>IF(L60&lt;0,"NEGATIVE QUANTITY","")</f>
        <v/>
      </c>
      <c r="P60">
        <f t="shared" si="0"/>
        <v>15</v>
      </c>
      <c r="Q60">
        <f>VLOOKUP(H60,'Product Cost Lookup'!A:D,4,FALSE)</f>
        <v>300</v>
      </c>
      <c r="R60" t="str">
        <f>VLOOKUP(H60,'Product Cost Lookup'!A:D,3,FALSE)</f>
        <v>Electronics</v>
      </c>
      <c r="S60">
        <f t="shared" si="1"/>
        <v>7500</v>
      </c>
      <c r="T60">
        <f t="shared" si="5"/>
        <v>4500</v>
      </c>
      <c r="U60">
        <f t="shared" si="2"/>
        <v>3000</v>
      </c>
      <c r="V60" s="3">
        <f t="shared" si="3"/>
        <v>0.4</v>
      </c>
      <c r="W60" t="str">
        <f t="shared" si="4"/>
        <v>Mar</v>
      </c>
    </row>
    <row r="61" spans="1:23">
      <c r="A61">
        <v>10012</v>
      </c>
      <c r="B61" s="1">
        <v>45319</v>
      </c>
      <c r="C61">
        <v>45319</v>
      </c>
      <c r="D61" t="s">
        <v>19</v>
      </c>
      <c r="E61" t="str">
        <f>IF(TRIM(D61)="","Unknown",PROPER(TRIM(D61)))</f>
        <v>Eldoret</v>
      </c>
      <c r="F61" t="s">
        <v>42</v>
      </c>
      <c r="G61" t="str">
        <f>PROPER(TRIM(F61))</f>
        <v>Faith Wanjiru</v>
      </c>
      <c r="H61" t="s">
        <v>30</v>
      </c>
      <c r="I61" t="s">
        <v>31</v>
      </c>
      <c r="J61" t="str">
        <f>PROPER(TRIM(I61))</f>
        <v>Garden Hose 20M</v>
      </c>
      <c r="K61">
        <v>5</v>
      </c>
      <c r="L61">
        <f>IF(K61="",0,K61)</f>
        <v>5</v>
      </c>
      <c r="M61">
        <v>1750</v>
      </c>
      <c r="N61">
        <f>IF(M61="",0,M61)</f>
        <v>1750</v>
      </c>
      <c r="O61" t="str">
        <f>IF(L61&lt;0,"NEGATIVE QUANTITY","")</f>
        <v/>
      </c>
      <c r="P61">
        <f t="shared" si="0"/>
        <v>5</v>
      </c>
      <c r="Q61">
        <f>VLOOKUP(H61,'Product Cost Lookup'!A:D,4,FALSE)</f>
        <v>1100</v>
      </c>
      <c r="R61" t="str">
        <f>VLOOKUP(H61,'Product Cost Lookup'!A:D,3,FALSE)</f>
        <v>Hardware</v>
      </c>
      <c r="S61">
        <f t="shared" si="1"/>
        <v>8750</v>
      </c>
      <c r="T61">
        <f t="shared" si="5"/>
        <v>5500</v>
      </c>
      <c r="U61">
        <f t="shared" si="2"/>
        <v>3250</v>
      </c>
      <c r="V61" s="3">
        <f t="shared" si="3"/>
        <v>0.37142857142857144</v>
      </c>
      <c r="W61" t="str">
        <f t="shared" si="4"/>
        <v>Jan</v>
      </c>
    </row>
    <row r="62" spans="1:23">
      <c r="A62">
        <v>10246</v>
      </c>
      <c r="B62" s="1">
        <v>45312</v>
      </c>
      <c r="C62">
        <v>45312</v>
      </c>
      <c r="D62" t="s">
        <v>74</v>
      </c>
      <c r="E62" t="str">
        <f>IF(TRIM(D62)="","Unknown",PROPER(TRIM(D62)))</f>
        <v>Nairobi</v>
      </c>
      <c r="F62" t="s">
        <v>81</v>
      </c>
      <c r="G62" t="str">
        <f>PROPER(TRIM(F62))</f>
        <v>Aisha Hassan</v>
      </c>
      <c r="H62" t="s">
        <v>21</v>
      </c>
      <c r="I62" t="s">
        <v>103</v>
      </c>
      <c r="J62" t="str">
        <f>PROPER(TRIM(I62))</f>
        <v>Water Dispenser Stand</v>
      </c>
      <c r="K62">
        <v>4</v>
      </c>
      <c r="L62">
        <f>IF(K62="",0,K62)</f>
        <v>4</v>
      </c>
      <c r="N62">
        <f>IF(M62="",0,M62)</f>
        <v>0</v>
      </c>
      <c r="O62" t="str">
        <f>IF(L62&lt;0,"NEGATIVE QUANTITY","")</f>
        <v/>
      </c>
      <c r="P62">
        <f t="shared" si="0"/>
        <v>4</v>
      </c>
      <c r="Q62">
        <f>VLOOKUP(H62,'Product Cost Lookup'!A:D,4,FALSE)</f>
        <v>1500</v>
      </c>
      <c r="R62" t="str">
        <f>VLOOKUP(H62,'Product Cost Lookup'!A:D,3,FALSE)</f>
        <v>Household</v>
      </c>
      <c r="S62">
        <f t="shared" si="1"/>
        <v>0</v>
      </c>
      <c r="T62">
        <f t="shared" si="5"/>
        <v>6000</v>
      </c>
      <c r="U62">
        <f t="shared" si="2"/>
        <v>-6000</v>
      </c>
      <c r="V62" s="3">
        <f t="shared" si="3"/>
        <v>0</v>
      </c>
      <c r="W62" t="str">
        <f t="shared" si="4"/>
        <v>Jan</v>
      </c>
    </row>
    <row r="63" spans="1:23">
      <c r="A63">
        <v>10097</v>
      </c>
      <c r="B63" s="1">
        <v>45374</v>
      </c>
      <c r="C63">
        <v>45374</v>
      </c>
      <c r="D63" t="s">
        <v>92</v>
      </c>
      <c r="E63" t="str">
        <f>IF(TRIM(D63)="","Unknown",PROPER(TRIM(D63)))</f>
        <v>Kisumu</v>
      </c>
      <c r="F63" t="s">
        <v>104</v>
      </c>
      <c r="G63" t="str">
        <f>PROPER(TRIM(F63))</f>
        <v>Peter Otieno</v>
      </c>
      <c r="H63" t="s">
        <v>33</v>
      </c>
      <c r="I63" t="s">
        <v>60</v>
      </c>
      <c r="J63" t="str">
        <f>PROPER(TRIM(I63))</f>
        <v>Padlock Set (3Pc)</v>
      </c>
      <c r="K63">
        <v>20</v>
      </c>
      <c r="L63">
        <f>IF(K63="",0,K63)</f>
        <v>20</v>
      </c>
      <c r="M63">
        <v>800</v>
      </c>
      <c r="N63">
        <f>IF(M63="",0,M63)</f>
        <v>800</v>
      </c>
      <c r="O63" t="str">
        <f>IF(L63&lt;0,"NEGATIVE QUANTITY","")</f>
        <v/>
      </c>
      <c r="P63">
        <f t="shared" si="0"/>
        <v>20</v>
      </c>
      <c r="Q63">
        <f>VLOOKUP(H63,'Product Cost Lookup'!A:D,4,FALSE)</f>
        <v>450</v>
      </c>
      <c r="R63" t="str">
        <f>VLOOKUP(H63,'Product Cost Lookup'!A:D,3,FALSE)</f>
        <v>Hardware</v>
      </c>
      <c r="S63">
        <f t="shared" si="1"/>
        <v>16000</v>
      </c>
      <c r="T63">
        <f t="shared" si="5"/>
        <v>9000</v>
      </c>
      <c r="U63">
        <f t="shared" si="2"/>
        <v>7000</v>
      </c>
      <c r="V63" s="3">
        <f t="shared" si="3"/>
        <v>0.4375</v>
      </c>
      <c r="W63" t="str">
        <f t="shared" si="4"/>
        <v>Mar</v>
      </c>
    </row>
    <row r="64" spans="1:23">
      <c r="A64">
        <v>10337</v>
      </c>
      <c r="B64" s="2">
        <v>45303</v>
      </c>
      <c r="C64">
        <v>45303</v>
      </c>
      <c r="D64" t="s">
        <v>47</v>
      </c>
      <c r="E64" t="str">
        <f>IF(TRIM(D64)="","Unknown",PROPER(TRIM(D64)))</f>
        <v>Mombasa</v>
      </c>
      <c r="F64" t="s">
        <v>105</v>
      </c>
      <c r="G64" t="str">
        <f>PROPER(TRIM(F64))</f>
        <v>Brian Mutua</v>
      </c>
      <c r="H64" t="s">
        <v>93</v>
      </c>
      <c r="I64" t="s">
        <v>94</v>
      </c>
      <c r="J64" t="str">
        <f>PROPER(TRIM(I64))</f>
        <v>Non-Stick Frying Pan 28Cm</v>
      </c>
      <c r="K64">
        <v>8</v>
      </c>
      <c r="L64">
        <f>IF(K64="",0,K64)</f>
        <v>8</v>
      </c>
      <c r="M64">
        <v>1100</v>
      </c>
      <c r="N64">
        <f>IF(M64="",0,M64)</f>
        <v>1100</v>
      </c>
      <c r="O64" t="str">
        <f>IF(L64&lt;0,"NEGATIVE QUANTITY","")</f>
        <v/>
      </c>
      <c r="P64">
        <f t="shared" si="0"/>
        <v>8</v>
      </c>
      <c r="Q64">
        <f>VLOOKUP(H64,'Product Cost Lookup'!A:D,4,FALSE)</f>
        <v>700</v>
      </c>
      <c r="R64" t="str">
        <f>VLOOKUP(H64,'Product Cost Lookup'!A:D,3,FALSE)</f>
        <v>Kitchenware</v>
      </c>
      <c r="S64">
        <f t="shared" si="1"/>
        <v>8800</v>
      </c>
      <c r="T64">
        <f t="shared" si="5"/>
        <v>5600</v>
      </c>
      <c r="U64">
        <f t="shared" si="2"/>
        <v>3200</v>
      </c>
      <c r="V64" s="3">
        <f t="shared" si="3"/>
        <v>0.36363636363636365</v>
      </c>
      <c r="W64" t="str">
        <f t="shared" si="4"/>
        <v>Jan</v>
      </c>
    </row>
    <row r="65" spans="1:23">
      <c r="A65">
        <v>10330</v>
      </c>
      <c r="B65" s="1">
        <v>45372</v>
      </c>
      <c r="C65">
        <v>45372</v>
      </c>
      <c r="D65" t="s">
        <v>15</v>
      </c>
      <c r="E65" t="str">
        <f>IF(TRIM(D65)="","Unknown",PROPER(TRIM(D65)))</f>
        <v>Mombasa</v>
      </c>
      <c r="F65" t="s">
        <v>105</v>
      </c>
      <c r="G65" t="str">
        <f>PROPER(TRIM(F65))</f>
        <v>Brian Mutua</v>
      </c>
      <c r="H65" t="s">
        <v>30</v>
      </c>
      <c r="I65" t="s">
        <v>31</v>
      </c>
      <c r="J65" t="str">
        <f>PROPER(TRIM(I65))</f>
        <v>Garden Hose 20M</v>
      </c>
      <c r="K65">
        <v>2</v>
      </c>
      <c r="L65">
        <f>IF(K65="",0,K65)</f>
        <v>2</v>
      </c>
      <c r="M65">
        <v>1800</v>
      </c>
      <c r="N65">
        <f>IF(M65="",0,M65)</f>
        <v>1800</v>
      </c>
      <c r="O65" t="str">
        <f>IF(L65&lt;0,"NEGATIVE QUANTITY","")</f>
        <v/>
      </c>
      <c r="P65">
        <f t="shared" si="0"/>
        <v>2</v>
      </c>
      <c r="Q65">
        <f>VLOOKUP(H65,'Product Cost Lookup'!A:D,4,FALSE)</f>
        <v>1100</v>
      </c>
      <c r="R65" t="str">
        <f>VLOOKUP(H65,'Product Cost Lookup'!A:D,3,FALSE)</f>
        <v>Hardware</v>
      </c>
      <c r="S65">
        <f t="shared" si="1"/>
        <v>3600</v>
      </c>
      <c r="T65">
        <f t="shared" si="5"/>
        <v>2200</v>
      </c>
      <c r="U65">
        <f t="shared" si="2"/>
        <v>1400</v>
      </c>
      <c r="V65" s="3">
        <f t="shared" si="3"/>
        <v>0.3888888888888889</v>
      </c>
      <c r="W65" t="str">
        <f t="shared" si="4"/>
        <v>Mar</v>
      </c>
    </row>
    <row r="66" spans="1:23">
      <c r="A66">
        <v>10151</v>
      </c>
      <c r="B66" s="1">
        <v>45332</v>
      </c>
      <c r="C66">
        <v>45332</v>
      </c>
      <c r="D66" t="s">
        <v>106</v>
      </c>
      <c r="E66" t="str">
        <f>IF(TRIM(D66)="","Unknown",PROPER(TRIM(D66)))</f>
        <v>Mombasa</v>
      </c>
      <c r="F66" t="s">
        <v>24</v>
      </c>
      <c r="G66" t="str">
        <f>PROPER(TRIM(F66))</f>
        <v>Mercy Njeri</v>
      </c>
      <c r="H66" t="s">
        <v>25</v>
      </c>
      <c r="I66" t="s">
        <v>97</v>
      </c>
      <c r="J66" t="str">
        <f>PROPER(TRIM(I66))</f>
        <v>Plastic Storage Basket (L)</v>
      </c>
      <c r="K66">
        <v>8</v>
      </c>
      <c r="L66">
        <f>IF(K66="",0,K66)</f>
        <v>8</v>
      </c>
      <c r="M66">
        <v>370</v>
      </c>
      <c r="N66">
        <f>IF(M66="",0,M66)</f>
        <v>370</v>
      </c>
      <c r="O66" t="str">
        <f>IF(L66&lt;0,"NEGATIVE QUANTITY","")</f>
        <v/>
      </c>
      <c r="P66">
        <f t="shared" ref="P66:P129" si="6">ABS(L66)</f>
        <v>8</v>
      </c>
      <c r="Q66">
        <f>VLOOKUP(H66,'Product Cost Lookup'!A:D,4,FALSE)</f>
        <v>250</v>
      </c>
      <c r="R66" t="str">
        <f>VLOOKUP(H66,'Product Cost Lookup'!A:D,3,FALSE)</f>
        <v>Household</v>
      </c>
      <c r="S66">
        <f t="shared" ref="S66:S129" si="7">P66*N66</f>
        <v>2960</v>
      </c>
      <c r="T66">
        <f t="shared" ref="T66:T129" si="8">P66*Q66</f>
        <v>2000</v>
      </c>
      <c r="U66">
        <f t="shared" si="2"/>
        <v>960</v>
      </c>
      <c r="V66" s="3">
        <f t="shared" si="3"/>
        <v>0.32432432432432434</v>
      </c>
      <c r="W66" t="str">
        <f t="shared" si="4"/>
        <v>Feb</v>
      </c>
    </row>
    <row r="67" spans="1:23">
      <c r="A67">
        <v>10264</v>
      </c>
      <c r="B67" s="1">
        <v>45322</v>
      </c>
      <c r="C67">
        <v>45322</v>
      </c>
      <c r="D67" t="s">
        <v>19</v>
      </c>
      <c r="E67" t="str">
        <f>IF(TRIM(D67)="","Unknown",PROPER(TRIM(D67)))</f>
        <v>Eldoret</v>
      </c>
      <c r="F67" t="s">
        <v>46</v>
      </c>
      <c r="G67" t="str">
        <f>PROPER(TRIM(F67))</f>
        <v>Samuel Kiptoo</v>
      </c>
      <c r="H67" t="s">
        <v>30</v>
      </c>
      <c r="I67" t="s">
        <v>31</v>
      </c>
      <c r="J67" t="str">
        <f>PROPER(TRIM(I67))</f>
        <v>Garden Hose 20M</v>
      </c>
      <c r="K67">
        <v>20</v>
      </c>
      <c r="L67">
        <f>IF(K67="",0,K67)</f>
        <v>20</v>
      </c>
      <c r="M67">
        <v>1650</v>
      </c>
      <c r="N67">
        <f>IF(M67="",0,M67)</f>
        <v>1650</v>
      </c>
      <c r="O67" t="str">
        <f>IF(L67&lt;0,"NEGATIVE QUANTITY","")</f>
        <v/>
      </c>
      <c r="P67">
        <f t="shared" si="6"/>
        <v>20</v>
      </c>
      <c r="Q67">
        <f>VLOOKUP(H67,'Product Cost Lookup'!A:D,4,FALSE)</f>
        <v>1100</v>
      </c>
      <c r="R67" t="str">
        <f>VLOOKUP(H67,'Product Cost Lookup'!A:D,3,FALSE)</f>
        <v>Hardware</v>
      </c>
      <c r="S67">
        <f t="shared" si="7"/>
        <v>33000</v>
      </c>
      <c r="T67">
        <f t="shared" si="8"/>
        <v>22000</v>
      </c>
      <c r="U67">
        <f t="shared" ref="U67:U130" si="9">S67-T67</f>
        <v>11000</v>
      </c>
      <c r="V67" s="3">
        <f t="shared" ref="V67:V130" si="10">IF(S67=0,0,U67/S67)</f>
        <v>0.33333333333333331</v>
      </c>
      <c r="W67" t="str">
        <f t="shared" ref="W67:W130" si="11">TEXT(C67,"mmm")</f>
        <v>Jan</v>
      </c>
    </row>
    <row r="68" spans="1:23">
      <c r="A68">
        <v>10280</v>
      </c>
      <c r="B68" s="1">
        <v>45353</v>
      </c>
      <c r="C68">
        <v>45353</v>
      </c>
      <c r="D68" t="s">
        <v>40</v>
      </c>
      <c r="E68" t="str">
        <f>IF(TRIM(D68)="","Unknown",PROPER(TRIM(D68)))</f>
        <v>Thika</v>
      </c>
      <c r="F68" t="s">
        <v>16</v>
      </c>
      <c r="G68" t="str">
        <f>PROPER(TRIM(F68))</f>
        <v>Grace Achieng</v>
      </c>
      <c r="H68" t="s">
        <v>30</v>
      </c>
      <c r="I68" t="s">
        <v>31</v>
      </c>
      <c r="J68" t="str">
        <f>PROPER(TRIM(I68))</f>
        <v>Garden Hose 20M</v>
      </c>
      <c r="K68">
        <v>2</v>
      </c>
      <c r="L68">
        <f>IF(K68="",0,K68)</f>
        <v>2</v>
      </c>
      <c r="M68">
        <v>1650</v>
      </c>
      <c r="N68">
        <f>IF(M68="",0,M68)</f>
        <v>1650</v>
      </c>
      <c r="O68" t="str">
        <f>IF(L68&lt;0,"NEGATIVE QUANTITY","")</f>
        <v/>
      </c>
      <c r="P68">
        <f t="shared" si="6"/>
        <v>2</v>
      </c>
      <c r="Q68">
        <f>VLOOKUP(H68,'Product Cost Lookup'!A:D,4,FALSE)</f>
        <v>1100</v>
      </c>
      <c r="R68" t="str">
        <f>VLOOKUP(H68,'Product Cost Lookup'!A:D,3,FALSE)</f>
        <v>Hardware</v>
      </c>
      <c r="S68">
        <f t="shared" si="7"/>
        <v>3300</v>
      </c>
      <c r="T68">
        <f t="shared" si="8"/>
        <v>2200</v>
      </c>
      <c r="U68">
        <f t="shared" si="9"/>
        <v>1100</v>
      </c>
      <c r="V68" s="3">
        <f t="shared" si="10"/>
        <v>0.33333333333333331</v>
      </c>
      <c r="W68" t="str">
        <f t="shared" si="11"/>
        <v>Mar</v>
      </c>
    </row>
    <row r="69" spans="1:23">
      <c r="A69">
        <v>10072</v>
      </c>
      <c r="B69" t="s">
        <v>107</v>
      </c>
      <c r="C69">
        <v>45305</v>
      </c>
      <c r="D69" t="s">
        <v>40</v>
      </c>
      <c r="E69" t="str">
        <f>IF(TRIM(D69)="","Unknown",PROPER(TRIM(D69)))</f>
        <v>Thika</v>
      </c>
      <c r="F69" t="s">
        <v>14</v>
      </c>
      <c r="G69" t="str">
        <f>PROPER(TRIM(F69))</f>
        <v>Faith Wanjiru</v>
      </c>
      <c r="H69" t="s">
        <v>38</v>
      </c>
      <c r="I69" t="s">
        <v>39</v>
      </c>
      <c r="J69" t="str">
        <f>PROPER(TRIM(I69))</f>
        <v>Usb Wall Charger Uc-5</v>
      </c>
      <c r="K69">
        <v>1</v>
      </c>
      <c r="L69">
        <f>IF(K69="",0,K69)</f>
        <v>1</v>
      </c>
      <c r="M69">
        <v>600</v>
      </c>
      <c r="N69">
        <f>IF(M69="",0,M69)</f>
        <v>600</v>
      </c>
      <c r="O69" t="str">
        <f>IF(L69&lt;0,"NEGATIVE QUANTITY","")</f>
        <v/>
      </c>
      <c r="P69">
        <f t="shared" si="6"/>
        <v>1</v>
      </c>
      <c r="Q69">
        <f>VLOOKUP(H69,'Product Cost Lookup'!A:D,4,FALSE)</f>
        <v>300</v>
      </c>
      <c r="R69" t="str">
        <f>VLOOKUP(H69,'Product Cost Lookup'!A:D,3,FALSE)</f>
        <v>Electronics</v>
      </c>
      <c r="S69">
        <f t="shared" si="7"/>
        <v>600</v>
      </c>
      <c r="T69">
        <f t="shared" si="8"/>
        <v>300</v>
      </c>
      <c r="U69">
        <f t="shared" si="9"/>
        <v>300</v>
      </c>
      <c r="V69" s="3">
        <f t="shared" si="10"/>
        <v>0.5</v>
      </c>
      <c r="W69" t="str">
        <f t="shared" si="11"/>
        <v>Jan</v>
      </c>
    </row>
    <row r="70" spans="1:23">
      <c r="A70">
        <v>10077</v>
      </c>
      <c r="B70" s="1">
        <v>45376</v>
      </c>
      <c r="C70">
        <v>45376</v>
      </c>
      <c r="D70" t="s">
        <v>58</v>
      </c>
      <c r="E70" t="str">
        <f>IF(TRIM(D70)="","Unknown",PROPER(TRIM(D70)))</f>
        <v>Nairobi</v>
      </c>
      <c r="F70" t="s">
        <v>9</v>
      </c>
      <c r="G70" t="str">
        <f>PROPER(TRIM(F70))</f>
        <v>Peter Otieno</v>
      </c>
      <c r="H70" t="s">
        <v>17</v>
      </c>
      <c r="I70" t="s">
        <v>18</v>
      </c>
      <c r="J70" t="str">
        <f>PROPER(TRIM(I70))</f>
        <v>20L Jerrycan - Blue</v>
      </c>
      <c r="K70">
        <v>6</v>
      </c>
      <c r="L70">
        <f>IF(K70="",0,K70)</f>
        <v>6</v>
      </c>
      <c r="N70">
        <f>IF(M70="",0,M70)</f>
        <v>0</v>
      </c>
      <c r="O70" t="str">
        <f>IF(L70&lt;0,"NEGATIVE QUANTITY","")</f>
        <v/>
      </c>
      <c r="P70">
        <f t="shared" si="6"/>
        <v>6</v>
      </c>
      <c r="Q70">
        <f>VLOOKUP(H70,'Product Cost Lookup'!A:D,4,FALSE)</f>
        <v>350</v>
      </c>
      <c r="R70" t="str">
        <f>VLOOKUP(H70,'Product Cost Lookup'!A:D,3,FALSE)</f>
        <v>Household</v>
      </c>
      <c r="S70">
        <f t="shared" si="7"/>
        <v>0</v>
      </c>
      <c r="T70">
        <f t="shared" si="8"/>
        <v>2100</v>
      </c>
      <c r="U70">
        <f t="shared" si="9"/>
        <v>-2100</v>
      </c>
      <c r="V70" s="3">
        <f t="shared" si="10"/>
        <v>0</v>
      </c>
      <c r="W70" t="str">
        <f t="shared" si="11"/>
        <v>Mar</v>
      </c>
    </row>
    <row r="71" spans="1:23">
      <c r="A71">
        <v>10201</v>
      </c>
      <c r="B71" t="s">
        <v>108</v>
      </c>
      <c r="C71">
        <v>45310</v>
      </c>
      <c r="D71" t="s">
        <v>40</v>
      </c>
      <c r="E71" t="str">
        <f>IF(TRIM(D71)="","Unknown",PROPER(TRIM(D71)))</f>
        <v>Thika</v>
      </c>
      <c r="F71" t="s">
        <v>109</v>
      </c>
      <c r="G71" t="str">
        <f>PROPER(TRIM(F71))</f>
        <v>Samuel Kiptoo</v>
      </c>
      <c r="H71" t="s">
        <v>50</v>
      </c>
      <c r="I71" t="s">
        <v>89</v>
      </c>
      <c r="J71" t="str">
        <f>PROPER(TRIM(I71))</f>
        <v>Solar Lantern Sl-200</v>
      </c>
      <c r="K71">
        <v>1</v>
      </c>
      <c r="L71">
        <f>IF(K71="",0,K71)</f>
        <v>1</v>
      </c>
      <c r="M71">
        <v>1450</v>
      </c>
      <c r="N71">
        <f>IF(M71="",0,M71)</f>
        <v>1450</v>
      </c>
      <c r="O71" t="str">
        <f>IF(L71&lt;0,"NEGATIVE QUANTITY","")</f>
        <v/>
      </c>
      <c r="P71">
        <f t="shared" si="6"/>
        <v>1</v>
      </c>
      <c r="Q71">
        <f>VLOOKUP(H71,'Product Cost Lookup'!A:D,4,FALSE)</f>
        <v>900</v>
      </c>
      <c r="R71" t="str">
        <f>VLOOKUP(H71,'Product Cost Lookup'!A:D,3,FALSE)</f>
        <v>Electronics</v>
      </c>
      <c r="S71">
        <f t="shared" si="7"/>
        <v>1450</v>
      </c>
      <c r="T71">
        <f t="shared" si="8"/>
        <v>900</v>
      </c>
      <c r="U71">
        <f t="shared" si="9"/>
        <v>550</v>
      </c>
      <c r="V71" s="3">
        <f t="shared" si="10"/>
        <v>0.37931034482758619</v>
      </c>
      <c r="W71" t="str">
        <f t="shared" si="11"/>
        <v>Jan</v>
      </c>
    </row>
    <row r="72" spans="1:23">
      <c r="A72">
        <v>10204</v>
      </c>
      <c r="B72" s="1">
        <v>45379</v>
      </c>
      <c r="C72">
        <v>45379</v>
      </c>
      <c r="D72" t="s">
        <v>35</v>
      </c>
      <c r="E72" t="str">
        <f>IF(TRIM(D72)="","Unknown",PROPER(TRIM(D72)))</f>
        <v>Kisumu</v>
      </c>
      <c r="F72" t="s">
        <v>110</v>
      </c>
      <c r="G72" t="str">
        <f>PROPER(TRIM(F72))</f>
        <v>John Mwangi</v>
      </c>
      <c r="H72" t="s">
        <v>77</v>
      </c>
      <c r="I72" t="s">
        <v>78</v>
      </c>
      <c r="J72" t="str">
        <f>PROPER(TRIM(I72))</f>
        <v>Cooking Gas Burner Cb-2</v>
      </c>
      <c r="K72">
        <v>6</v>
      </c>
      <c r="L72">
        <f>IF(K72="",0,K72)</f>
        <v>6</v>
      </c>
      <c r="M72">
        <v>1850</v>
      </c>
      <c r="N72">
        <f>IF(M72="",0,M72)</f>
        <v>1850</v>
      </c>
      <c r="O72" t="str">
        <f>IF(L72&lt;0,"NEGATIVE QUANTITY","")</f>
        <v/>
      </c>
      <c r="P72">
        <f t="shared" si="6"/>
        <v>6</v>
      </c>
      <c r="Q72">
        <f>VLOOKUP(H72,'Product Cost Lookup'!A:D,4,FALSE)</f>
        <v>1200</v>
      </c>
      <c r="R72" t="str">
        <f>VLOOKUP(H72,'Product Cost Lookup'!A:D,3,FALSE)</f>
        <v>Kitchenware</v>
      </c>
      <c r="S72">
        <f t="shared" si="7"/>
        <v>11100</v>
      </c>
      <c r="T72">
        <f t="shared" si="8"/>
        <v>7200</v>
      </c>
      <c r="U72">
        <f t="shared" si="9"/>
        <v>3900</v>
      </c>
      <c r="V72" s="3">
        <f t="shared" si="10"/>
        <v>0.35135135135135137</v>
      </c>
      <c r="W72" t="str">
        <f t="shared" si="11"/>
        <v>Mar</v>
      </c>
    </row>
    <row r="73" spans="1:23">
      <c r="A73">
        <v>10176</v>
      </c>
      <c r="B73" s="1">
        <v>45373</v>
      </c>
      <c r="C73">
        <v>45373</v>
      </c>
      <c r="D73" t="s">
        <v>19</v>
      </c>
      <c r="E73" t="str">
        <f>IF(TRIM(D73)="","Unknown",PROPER(TRIM(D73)))</f>
        <v>Eldoret</v>
      </c>
      <c r="F73" t="s">
        <v>9</v>
      </c>
      <c r="G73" t="str">
        <f>PROPER(TRIM(F73))</f>
        <v>Peter Otieno</v>
      </c>
      <c r="H73" t="s">
        <v>111</v>
      </c>
      <c r="I73" t="s">
        <v>112</v>
      </c>
      <c r="J73" t="str">
        <f>PROPER(TRIM(I73))</f>
        <v>Thermos Flask 1L</v>
      </c>
      <c r="K73">
        <v>3</v>
      </c>
      <c r="L73">
        <f>IF(K73="",0,K73)</f>
        <v>3</v>
      </c>
      <c r="M73">
        <v>950</v>
      </c>
      <c r="N73">
        <f>IF(M73="",0,M73)</f>
        <v>950</v>
      </c>
      <c r="O73" t="str">
        <f>IF(L73&lt;0,"NEGATIVE QUANTITY","")</f>
        <v/>
      </c>
      <c r="P73">
        <f t="shared" si="6"/>
        <v>3</v>
      </c>
      <c r="Q73">
        <f>VLOOKUP(H73,'Product Cost Lookup'!A:D,4,FALSE)</f>
        <v>550</v>
      </c>
      <c r="R73" t="str">
        <f>VLOOKUP(H73,'Product Cost Lookup'!A:D,3,FALSE)</f>
        <v>Kitchenware</v>
      </c>
      <c r="S73">
        <f t="shared" si="7"/>
        <v>2850</v>
      </c>
      <c r="T73">
        <f t="shared" si="8"/>
        <v>1650</v>
      </c>
      <c r="U73">
        <f t="shared" si="9"/>
        <v>1200</v>
      </c>
      <c r="V73" s="3">
        <f t="shared" si="10"/>
        <v>0.42105263157894735</v>
      </c>
      <c r="W73" t="str">
        <f t="shared" si="11"/>
        <v>Mar</v>
      </c>
    </row>
    <row r="74" spans="1:23">
      <c r="A74">
        <v>10059</v>
      </c>
      <c r="B74" s="2">
        <v>45329</v>
      </c>
      <c r="C74">
        <v>45329</v>
      </c>
      <c r="D74" t="s">
        <v>19</v>
      </c>
      <c r="E74" t="str">
        <f>IF(TRIM(D74)="","Unknown",PROPER(TRIM(D74)))</f>
        <v>Eldoret</v>
      </c>
      <c r="F74" t="s">
        <v>46</v>
      </c>
      <c r="G74" t="str">
        <f>PROPER(TRIM(F74))</f>
        <v>Samuel Kiptoo</v>
      </c>
      <c r="H74" t="s">
        <v>65</v>
      </c>
      <c r="I74" t="s">
        <v>73</v>
      </c>
      <c r="J74" t="str">
        <f>PROPER(TRIM(I74))</f>
        <v>Mosquito Net - Family Size</v>
      </c>
      <c r="K74">
        <v>10</v>
      </c>
      <c r="L74">
        <f>IF(K74="",0,K74)</f>
        <v>10</v>
      </c>
      <c r="M74">
        <v>700</v>
      </c>
      <c r="N74">
        <f>IF(M74="",0,M74)</f>
        <v>700</v>
      </c>
      <c r="O74" t="str">
        <f>IF(L74&lt;0,"NEGATIVE QUANTITY","")</f>
        <v/>
      </c>
      <c r="P74">
        <f t="shared" si="6"/>
        <v>10</v>
      </c>
      <c r="Q74">
        <f>VLOOKUP(H74,'Product Cost Lookup'!A:D,4,FALSE)</f>
        <v>400</v>
      </c>
      <c r="R74" t="str">
        <f>VLOOKUP(H74,'Product Cost Lookup'!A:D,3,FALSE)</f>
        <v>Household</v>
      </c>
      <c r="S74">
        <f t="shared" si="7"/>
        <v>7000</v>
      </c>
      <c r="T74">
        <f t="shared" si="8"/>
        <v>4000</v>
      </c>
      <c r="U74">
        <f t="shared" si="9"/>
        <v>3000</v>
      </c>
      <c r="V74" s="3">
        <f t="shared" si="10"/>
        <v>0.42857142857142855</v>
      </c>
      <c r="W74" t="str">
        <f t="shared" si="11"/>
        <v>Feb</v>
      </c>
    </row>
    <row r="75" spans="1:23">
      <c r="A75">
        <v>10002</v>
      </c>
      <c r="B75" s="1">
        <v>45295</v>
      </c>
      <c r="C75">
        <v>45295</v>
      </c>
      <c r="D75" t="s">
        <v>19</v>
      </c>
      <c r="E75" t="str">
        <f>IF(TRIM(D75)="","Unknown",PROPER(TRIM(D75)))</f>
        <v>Eldoret</v>
      </c>
      <c r="F75" t="s">
        <v>52</v>
      </c>
      <c r="G75" t="str">
        <f>PROPER(TRIM(F75))</f>
        <v>Faith Wanjiru</v>
      </c>
      <c r="H75" t="s">
        <v>30</v>
      </c>
      <c r="I75" t="s">
        <v>31</v>
      </c>
      <c r="J75" t="str">
        <f>PROPER(TRIM(I75))</f>
        <v>Garden Hose 20M</v>
      </c>
      <c r="K75">
        <v>20</v>
      </c>
      <c r="L75">
        <f>IF(K75="",0,K75)</f>
        <v>20</v>
      </c>
      <c r="M75">
        <v>1800</v>
      </c>
      <c r="N75">
        <f>IF(M75="",0,M75)</f>
        <v>1800</v>
      </c>
      <c r="O75" t="str">
        <f>IF(L75&lt;0,"NEGATIVE QUANTITY","")</f>
        <v/>
      </c>
      <c r="P75">
        <f t="shared" si="6"/>
        <v>20</v>
      </c>
      <c r="Q75">
        <f>VLOOKUP(H75,'Product Cost Lookup'!A:D,4,FALSE)</f>
        <v>1100</v>
      </c>
      <c r="R75" t="str">
        <f>VLOOKUP(H75,'Product Cost Lookup'!A:D,3,FALSE)</f>
        <v>Hardware</v>
      </c>
      <c r="S75">
        <f t="shared" si="7"/>
        <v>36000</v>
      </c>
      <c r="T75">
        <f t="shared" si="8"/>
        <v>22000</v>
      </c>
      <c r="U75">
        <f t="shared" si="9"/>
        <v>14000</v>
      </c>
      <c r="V75" s="3">
        <f t="shared" si="10"/>
        <v>0.3888888888888889</v>
      </c>
      <c r="W75" t="str">
        <f t="shared" si="11"/>
        <v>Jan</v>
      </c>
    </row>
    <row r="76" spans="1:23">
      <c r="A76">
        <v>10189</v>
      </c>
      <c r="B76" t="s">
        <v>113</v>
      </c>
      <c r="C76">
        <v>45336</v>
      </c>
      <c r="D76" t="s">
        <v>41</v>
      </c>
      <c r="E76" t="str">
        <f>IF(TRIM(D76)="","Unknown",PROPER(TRIM(D76)))</f>
        <v>Nakuru</v>
      </c>
      <c r="F76" t="s">
        <v>24</v>
      </c>
      <c r="G76" t="str">
        <f>PROPER(TRIM(F76))</f>
        <v>Mercy Njeri</v>
      </c>
      <c r="H76" t="s">
        <v>10</v>
      </c>
      <c r="I76" t="s">
        <v>11</v>
      </c>
      <c r="J76" t="str">
        <f>PROPER(TRIM(I76))</f>
        <v>Kitchen Knife Set</v>
      </c>
      <c r="K76">
        <v>3</v>
      </c>
      <c r="L76">
        <f>IF(K76="",0,K76)</f>
        <v>3</v>
      </c>
      <c r="M76">
        <v>1300</v>
      </c>
      <c r="N76">
        <f>IF(M76="",0,M76)</f>
        <v>1300</v>
      </c>
      <c r="O76" t="str">
        <f>IF(L76&lt;0,"NEGATIVE QUANTITY","")</f>
        <v/>
      </c>
      <c r="P76">
        <f t="shared" si="6"/>
        <v>3</v>
      </c>
      <c r="Q76">
        <f>VLOOKUP(H76,'Product Cost Lookup'!A:D,4,FALSE)</f>
        <v>800</v>
      </c>
      <c r="R76" t="str">
        <f>VLOOKUP(H76,'Product Cost Lookup'!A:D,3,FALSE)</f>
        <v>Kitchenware</v>
      </c>
      <c r="S76">
        <f t="shared" si="7"/>
        <v>3900</v>
      </c>
      <c r="T76">
        <f t="shared" si="8"/>
        <v>2400</v>
      </c>
      <c r="U76">
        <f t="shared" si="9"/>
        <v>1500</v>
      </c>
      <c r="V76" s="3">
        <f t="shared" si="10"/>
        <v>0.38461538461538464</v>
      </c>
      <c r="W76" t="str">
        <f t="shared" si="11"/>
        <v>Feb</v>
      </c>
    </row>
    <row r="77" spans="1:23">
      <c r="A77">
        <v>10001</v>
      </c>
      <c r="B77" s="1">
        <v>45373</v>
      </c>
      <c r="C77">
        <v>45373</v>
      </c>
      <c r="D77" t="s">
        <v>74</v>
      </c>
      <c r="E77" t="str">
        <f>IF(TRIM(D77)="","Unknown",PROPER(TRIM(D77)))</f>
        <v>Nairobi</v>
      </c>
      <c r="F77" t="s">
        <v>62</v>
      </c>
      <c r="G77" t="str">
        <f>PROPER(TRIM(F77))</f>
        <v>John Mwangi</v>
      </c>
      <c r="H77" t="s">
        <v>30</v>
      </c>
      <c r="I77" t="s">
        <v>31</v>
      </c>
      <c r="J77" t="str">
        <f>PROPER(TRIM(I77))</f>
        <v>Garden Hose 20M</v>
      </c>
      <c r="K77">
        <v>5</v>
      </c>
      <c r="L77">
        <f>IF(K77="",0,K77)</f>
        <v>5</v>
      </c>
      <c r="M77">
        <v>1700</v>
      </c>
      <c r="N77">
        <f>IF(M77="",0,M77)</f>
        <v>1700</v>
      </c>
      <c r="O77" t="str">
        <f>IF(L77&lt;0,"NEGATIVE QUANTITY","")</f>
        <v/>
      </c>
      <c r="P77">
        <f t="shared" si="6"/>
        <v>5</v>
      </c>
      <c r="Q77">
        <f>VLOOKUP(H77,'Product Cost Lookup'!A:D,4,FALSE)</f>
        <v>1100</v>
      </c>
      <c r="R77" t="str">
        <f>VLOOKUP(H77,'Product Cost Lookup'!A:D,3,FALSE)</f>
        <v>Hardware</v>
      </c>
      <c r="S77">
        <f t="shared" si="7"/>
        <v>8500</v>
      </c>
      <c r="T77">
        <f t="shared" si="8"/>
        <v>5500</v>
      </c>
      <c r="U77">
        <f t="shared" si="9"/>
        <v>3000</v>
      </c>
      <c r="V77" s="3">
        <f t="shared" si="10"/>
        <v>0.35294117647058826</v>
      </c>
      <c r="W77" t="str">
        <f t="shared" si="11"/>
        <v>Mar</v>
      </c>
    </row>
    <row r="78" spans="1:23">
      <c r="A78">
        <v>10026</v>
      </c>
      <c r="B78" s="1">
        <v>45327</v>
      </c>
      <c r="C78">
        <v>45327</v>
      </c>
      <c r="D78" t="s">
        <v>74</v>
      </c>
      <c r="E78" t="str">
        <f>IF(TRIM(D78)="","Unknown",PROPER(TRIM(D78)))</f>
        <v>Nairobi</v>
      </c>
      <c r="F78" t="s">
        <v>46</v>
      </c>
      <c r="G78" t="str">
        <f>PROPER(TRIM(F78))</f>
        <v>Samuel Kiptoo</v>
      </c>
      <c r="H78" t="s">
        <v>25</v>
      </c>
      <c r="I78" t="s">
        <v>97</v>
      </c>
      <c r="J78" t="str">
        <f>PROPER(TRIM(I78))</f>
        <v>Plastic Storage Basket (L)</v>
      </c>
      <c r="K78">
        <v>20</v>
      </c>
      <c r="L78">
        <f>IF(K78="",0,K78)</f>
        <v>20</v>
      </c>
      <c r="M78">
        <v>520</v>
      </c>
      <c r="N78">
        <f>IF(M78="",0,M78)</f>
        <v>520</v>
      </c>
      <c r="O78" t="str">
        <f>IF(L78&lt;0,"NEGATIVE QUANTITY","")</f>
        <v/>
      </c>
      <c r="P78">
        <f t="shared" si="6"/>
        <v>20</v>
      </c>
      <c r="Q78">
        <f>VLOOKUP(H78,'Product Cost Lookup'!A:D,4,FALSE)</f>
        <v>250</v>
      </c>
      <c r="R78" t="str">
        <f>VLOOKUP(H78,'Product Cost Lookup'!A:D,3,FALSE)</f>
        <v>Household</v>
      </c>
      <c r="S78">
        <f t="shared" si="7"/>
        <v>10400</v>
      </c>
      <c r="T78">
        <f t="shared" si="8"/>
        <v>5000</v>
      </c>
      <c r="U78">
        <f t="shared" si="9"/>
        <v>5400</v>
      </c>
      <c r="V78" s="3">
        <f t="shared" si="10"/>
        <v>0.51923076923076927</v>
      </c>
      <c r="W78" t="str">
        <f t="shared" si="11"/>
        <v>Feb</v>
      </c>
    </row>
    <row r="79" spans="1:23">
      <c r="A79">
        <v>10281</v>
      </c>
      <c r="B79" s="1">
        <v>45352</v>
      </c>
      <c r="C79">
        <v>45352</v>
      </c>
      <c r="D79" t="s">
        <v>29</v>
      </c>
      <c r="E79" t="str">
        <f>IF(TRIM(D79)="","Unknown",PROPER(TRIM(D79)))</f>
        <v>Thika</v>
      </c>
      <c r="F79" t="s">
        <v>68</v>
      </c>
      <c r="G79" t="str">
        <f>PROPER(TRIM(F79))</f>
        <v>Peter Otieno</v>
      </c>
      <c r="H79" t="s">
        <v>25</v>
      </c>
      <c r="I79" t="s">
        <v>26</v>
      </c>
      <c r="J79" t="str">
        <f>PROPER(TRIM(I79))</f>
        <v>Plastic Storage Basket L</v>
      </c>
      <c r="K79">
        <v>8</v>
      </c>
      <c r="L79">
        <f>IF(K79="",0,K79)</f>
        <v>8</v>
      </c>
      <c r="M79">
        <v>420</v>
      </c>
      <c r="N79">
        <f>IF(M79="",0,M79)</f>
        <v>420</v>
      </c>
      <c r="O79" t="str">
        <f>IF(L79&lt;0,"NEGATIVE QUANTITY","")</f>
        <v/>
      </c>
      <c r="P79">
        <f t="shared" si="6"/>
        <v>8</v>
      </c>
      <c r="Q79">
        <f>VLOOKUP(H79,'Product Cost Lookup'!A:D,4,FALSE)</f>
        <v>250</v>
      </c>
      <c r="R79" t="str">
        <f>VLOOKUP(H79,'Product Cost Lookup'!A:D,3,FALSE)</f>
        <v>Household</v>
      </c>
      <c r="S79">
        <f t="shared" si="7"/>
        <v>3360</v>
      </c>
      <c r="T79">
        <f t="shared" si="8"/>
        <v>2000</v>
      </c>
      <c r="U79">
        <f t="shared" si="9"/>
        <v>1360</v>
      </c>
      <c r="V79" s="3">
        <f t="shared" si="10"/>
        <v>0.40476190476190477</v>
      </c>
      <c r="W79" t="str">
        <f t="shared" si="11"/>
        <v>Mar</v>
      </c>
    </row>
    <row r="80" spans="1:23">
      <c r="A80">
        <v>10145</v>
      </c>
      <c r="B80" s="1">
        <v>45444</v>
      </c>
      <c r="C80">
        <v>45444</v>
      </c>
      <c r="D80" t="s">
        <v>41</v>
      </c>
      <c r="E80" t="str">
        <f>IF(TRIM(D80)="","Unknown",PROPER(TRIM(D80)))</f>
        <v>Nakuru</v>
      </c>
      <c r="F80" t="s">
        <v>81</v>
      </c>
      <c r="G80" t="str">
        <f>PROPER(TRIM(F80))</f>
        <v>Aisha Hassan</v>
      </c>
      <c r="H80" t="s">
        <v>77</v>
      </c>
      <c r="I80" t="s">
        <v>78</v>
      </c>
      <c r="J80" t="str">
        <f>PROPER(TRIM(I80))</f>
        <v>Cooking Gas Burner Cb-2</v>
      </c>
      <c r="K80">
        <v>12</v>
      </c>
      <c r="L80">
        <f>IF(K80="",0,K80)</f>
        <v>12</v>
      </c>
      <c r="M80">
        <v>1850</v>
      </c>
      <c r="N80">
        <f>IF(M80="",0,M80)</f>
        <v>1850</v>
      </c>
      <c r="O80" t="str">
        <f>IF(L80&lt;0,"NEGATIVE QUANTITY","")</f>
        <v/>
      </c>
      <c r="P80">
        <f t="shared" si="6"/>
        <v>12</v>
      </c>
      <c r="Q80">
        <f>VLOOKUP(H80,'Product Cost Lookup'!A:D,4,FALSE)</f>
        <v>1200</v>
      </c>
      <c r="R80" t="str">
        <f>VLOOKUP(H80,'Product Cost Lookup'!A:D,3,FALSE)</f>
        <v>Kitchenware</v>
      </c>
      <c r="S80">
        <f t="shared" si="7"/>
        <v>22200</v>
      </c>
      <c r="T80">
        <f t="shared" si="8"/>
        <v>14400</v>
      </c>
      <c r="U80">
        <f t="shared" si="9"/>
        <v>7800</v>
      </c>
      <c r="V80" s="3">
        <f t="shared" si="10"/>
        <v>0.35135135135135137</v>
      </c>
      <c r="W80" t="str">
        <f t="shared" si="11"/>
        <v>Jun</v>
      </c>
    </row>
    <row r="81" spans="1:23">
      <c r="A81">
        <v>10141</v>
      </c>
      <c r="B81" s="1">
        <v>45294</v>
      </c>
      <c r="C81">
        <v>45294</v>
      </c>
      <c r="D81" t="s">
        <v>41</v>
      </c>
      <c r="E81" t="str">
        <f>IF(TRIM(D81)="","Unknown",PROPER(TRIM(D81)))</f>
        <v>Nakuru</v>
      </c>
      <c r="F81" t="s">
        <v>114</v>
      </c>
      <c r="G81" t="str">
        <f>PROPER(TRIM(F81))</f>
        <v>Samuel Kiptoo</v>
      </c>
      <c r="H81" t="s">
        <v>55</v>
      </c>
      <c r="I81" t="s">
        <v>56</v>
      </c>
      <c r="J81" t="str">
        <f>PROPER(TRIM(I81))</f>
        <v>Led Bulb 9W (Pack Of 4)</v>
      </c>
      <c r="K81">
        <v>1</v>
      </c>
      <c r="L81">
        <f>IF(K81="",0,K81)</f>
        <v>1</v>
      </c>
      <c r="M81">
        <v>780</v>
      </c>
      <c r="N81">
        <f>IF(M81="",0,M81)</f>
        <v>780</v>
      </c>
      <c r="O81" t="str">
        <f>IF(L81&lt;0,"NEGATIVE QUANTITY","")</f>
        <v/>
      </c>
      <c r="P81">
        <f t="shared" si="6"/>
        <v>1</v>
      </c>
      <c r="Q81">
        <f>VLOOKUP(H81,'Product Cost Lookup'!A:D,4,FALSE)</f>
        <v>480</v>
      </c>
      <c r="R81" t="str">
        <f>VLOOKUP(H81,'Product Cost Lookup'!A:D,3,FALSE)</f>
        <v>Electronics</v>
      </c>
      <c r="S81">
        <f t="shared" si="7"/>
        <v>780</v>
      </c>
      <c r="T81">
        <f t="shared" si="8"/>
        <v>480</v>
      </c>
      <c r="U81">
        <f t="shared" si="9"/>
        <v>300</v>
      </c>
      <c r="V81" s="3">
        <f t="shared" si="10"/>
        <v>0.38461538461538464</v>
      </c>
      <c r="W81" t="str">
        <f t="shared" si="11"/>
        <v>Jan</v>
      </c>
    </row>
    <row r="82" spans="1:23">
      <c r="A82">
        <v>10179</v>
      </c>
      <c r="B82" s="1">
        <v>45346</v>
      </c>
      <c r="C82">
        <v>45346</v>
      </c>
      <c r="D82" t="s">
        <v>74</v>
      </c>
      <c r="E82" t="str">
        <f>IF(TRIM(D82)="","Unknown",PROPER(TRIM(D82)))</f>
        <v>Nairobi</v>
      </c>
      <c r="F82" t="s">
        <v>14</v>
      </c>
      <c r="G82" t="str">
        <f>PROPER(TRIM(F82))</f>
        <v>Faith Wanjiru</v>
      </c>
      <c r="H82" t="s">
        <v>93</v>
      </c>
      <c r="I82" t="s">
        <v>94</v>
      </c>
      <c r="J82" t="str">
        <f>PROPER(TRIM(I82))</f>
        <v>Non-Stick Frying Pan 28Cm</v>
      </c>
      <c r="K82">
        <v>1</v>
      </c>
      <c r="L82">
        <f>IF(K82="",0,K82)</f>
        <v>1</v>
      </c>
      <c r="M82">
        <v>1150</v>
      </c>
      <c r="N82">
        <f>IF(M82="",0,M82)</f>
        <v>1150</v>
      </c>
      <c r="O82" t="str">
        <f>IF(L82&lt;0,"NEGATIVE QUANTITY","")</f>
        <v/>
      </c>
      <c r="P82">
        <f t="shared" si="6"/>
        <v>1</v>
      </c>
      <c r="Q82">
        <f>VLOOKUP(H82,'Product Cost Lookup'!A:D,4,FALSE)</f>
        <v>700</v>
      </c>
      <c r="R82" t="str">
        <f>VLOOKUP(H82,'Product Cost Lookup'!A:D,3,FALSE)</f>
        <v>Kitchenware</v>
      </c>
      <c r="S82">
        <f t="shared" si="7"/>
        <v>1150</v>
      </c>
      <c r="T82">
        <f t="shared" si="8"/>
        <v>700</v>
      </c>
      <c r="U82">
        <f t="shared" si="9"/>
        <v>450</v>
      </c>
      <c r="V82" s="3">
        <f t="shared" si="10"/>
        <v>0.39130434782608697</v>
      </c>
      <c r="W82" t="str">
        <f t="shared" si="11"/>
        <v>Feb</v>
      </c>
    </row>
    <row r="83" spans="1:23">
      <c r="A83">
        <v>10295</v>
      </c>
      <c r="B83" s="1">
        <v>45474</v>
      </c>
      <c r="C83">
        <v>45474</v>
      </c>
      <c r="D83" t="s">
        <v>8</v>
      </c>
      <c r="E83" t="str">
        <f>IF(TRIM(D83)="","Unknown",PROPER(TRIM(D83)))</f>
        <v>Mombasa</v>
      </c>
      <c r="F83" t="s">
        <v>48</v>
      </c>
      <c r="G83" t="str">
        <f>PROPER(TRIM(F83))</f>
        <v>Brian Mutua</v>
      </c>
      <c r="H83" t="s">
        <v>33</v>
      </c>
      <c r="I83" t="s">
        <v>60</v>
      </c>
      <c r="J83" t="str">
        <f>PROPER(TRIM(I83))</f>
        <v>Padlock Set (3Pc)</v>
      </c>
      <c r="K83">
        <v>1</v>
      </c>
      <c r="L83">
        <f>IF(K83="",0,K83)</f>
        <v>1</v>
      </c>
      <c r="M83">
        <v>650</v>
      </c>
      <c r="N83">
        <f>IF(M83="",0,M83)</f>
        <v>650</v>
      </c>
      <c r="O83" t="str">
        <f>IF(L83&lt;0,"NEGATIVE QUANTITY","")</f>
        <v/>
      </c>
      <c r="P83">
        <f t="shared" si="6"/>
        <v>1</v>
      </c>
      <c r="Q83">
        <f>VLOOKUP(H83,'Product Cost Lookup'!A:D,4,FALSE)</f>
        <v>450</v>
      </c>
      <c r="R83" t="str">
        <f>VLOOKUP(H83,'Product Cost Lookup'!A:D,3,FALSE)</f>
        <v>Hardware</v>
      </c>
      <c r="S83">
        <f t="shared" si="7"/>
        <v>650</v>
      </c>
      <c r="T83">
        <f t="shared" si="8"/>
        <v>450</v>
      </c>
      <c r="U83">
        <f t="shared" si="9"/>
        <v>200</v>
      </c>
      <c r="V83" s="3">
        <f t="shared" si="10"/>
        <v>0.30769230769230771</v>
      </c>
      <c r="W83" t="str">
        <f t="shared" si="11"/>
        <v>Jul</v>
      </c>
    </row>
    <row r="84" spans="1:23">
      <c r="A84">
        <v>10112</v>
      </c>
      <c r="B84" s="1">
        <v>45301</v>
      </c>
      <c r="C84">
        <v>45301</v>
      </c>
      <c r="D84" t="s">
        <v>79</v>
      </c>
      <c r="E84" t="str">
        <f>IF(TRIM(D84)="","Unknown",PROPER(TRIM(D84)))</f>
        <v>Eldoret</v>
      </c>
      <c r="F84" t="s">
        <v>68</v>
      </c>
      <c r="G84" t="str">
        <f>PROPER(TRIM(F84))</f>
        <v>Peter Otieno</v>
      </c>
      <c r="H84" t="s">
        <v>111</v>
      </c>
      <c r="I84" t="s">
        <v>112</v>
      </c>
      <c r="J84" t="str">
        <f>PROPER(TRIM(I84))</f>
        <v>Thermos Flask 1L</v>
      </c>
      <c r="K84">
        <v>6</v>
      </c>
      <c r="L84">
        <f>IF(K84="",0,K84)</f>
        <v>6</v>
      </c>
      <c r="M84">
        <v>950</v>
      </c>
      <c r="N84">
        <f>IF(M84="",0,M84)</f>
        <v>950</v>
      </c>
      <c r="O84" t="str">
        <f>IF(L84&lt;0,"NEGATIVE QUANTITY","")</f>
        <v/>
      </c>
      <c r="P84">
        <f t="shared" si="6"/>
        <v>6</v>
      </c>
      <c r="Q84">
        <f>VLOOKUP(H84,'Product Cost Lookup'!A:D,4,FALSE)</f>
        <v>550</v>
      </c>
      <c r="R84" t="str">
        <f>VLOOKUP(H84,'Product Cost Lookup'!A:D,3,FALSE)</f>
        <v>Kitchenware</v>
      </c>
      <c r="S84">
        <f t="shared" si="7"/>
        <v>5700</v>
      </c>
      <c r="T84">
        <f t="shared" si="8"/>
        <v>3300</v>
      </c>
      <c r="U84">
        <f t="shared" si="9"/>
        <v>2400</v>
      </c>
      <c r="V84" s="3">
        <f t="shared" si="10"/>
        <v>0.42105263157894735</v>
      </c>
      <c r="W84" t="str">
        <f t="shared" si="11"/>
        <v>Jan</v>
      </c>
    </row>
    <row r="85" spans="1:23">
      <c r="A85">
        <v>10086</v>
      </c>
      <c r="B85" s="1">
        <v>45302</v>
      </c>
      <c r="C85">
        <v>45302</v>
      </c>
      <c r="D85" t="s">
        <v>35</v>
      </c>
      <c r="E85" t="str">
        <f>IF(TRIM(D85)="","Unknown",PROPER(TRIM(D85)))</f>
        <v>Kisumu</v>
      </c>
      <c r="F85" t="s">
        <v>115</v>
      </c>
      <c r="G85" t="str">
        <f>PROPER(TRIM(F85))</f>
        <v>Aisha Hassan</v>
      </c>
      <c r="H85" t="s">
        <v>33</v>
      </c>
      <c r="I85" t="s">
        <v>116</v>
      </c>
      <c r="J85" t="str">
        <f>PROPER(TRIM(I85))</f>
        <v>Padlock Set (3Pc)</v>
      </c>
      <c r="K85">
        <v>8</v>
      </c>
      <c r="L85">
        <f>IF(K85="",0,K85)</f>
        <v>8</v>
      </c>
      <c r="M85">
        <v>750</v>
      </c>
      <c r="N85">
        <f>IF(M85="",0,M85)</f>
        <v>750</v>
      </c>
      <c r="O85" t="str">
        <f>IF(L85&lt;0,"NEGATIVE QUANTITY","")</f>
        <v/>
      </c>
      <c r="P85">
        <f t="shared" si="6"/>
        <v>8</v>
      </c>
      <c r="Q85">
        <f>VLOOKUP(H85,'Product Cost Lookup'!A:D,4,FALSE)</f>
        <v>450</v>
      </c>
      <c r="R85" t="str">
        <f>VLOOKUP(H85,'Product Cost Lookup'!A:D,3,FALSE)</f>
        <v>Hardware</v>
      </c>
      <c r="S85">
        <f t="shared" si="7"/>
        <v>6000</v>
      </c>
      <c r="T85">
        <f t="shared" si="8"/>
        <v>3600</v>
      </c>
      <c r="U85">
        <f t="shared" si="9"/>
        <v>2400</v>
      </c>
      <c r="V85" s="3">
        <f t="shared" si="10"/>
        <v>0.4</v>
      </c>
      <c r="W85" t="str">
        <f t="shared" si="11"/>
        <v>Jan</v>
      </c>
    </row>
    <row r="86" spans="1:23">
      <c r="A86">
        <v>10040</v>
      </c>
      <c r="B86" t="s">
        <v>117</v>
      </c>
      <c r="C86">
        <v>45311</v>
      </c>
      <c r="D86" t="s">
        <v>15</v>
      </c>
      <c r="E86" t="str">
        <f>IF(TRIM(D86)="","Unknown",PROPER(TRIM(D86)))</f>
        <v>Mombasa</v>
      </c>
      <c r="F86" t="s">
        <v>9</v>
      </c>
      <c r="G86" t="str">
        <f>PROPER(TRIM(F86))</f>
        <v>Peter Otieno</v>
      </c>
      <c r="H86" t="s">
        <v>38</v>
      </c>
      <c r="I86" t="s">
        <v>118</v>
      </c>
      <c r="J86" t="str">
        <f>PROPER(TRIM(I86))</f>
        <v>Usb Wall Charger Uc-5</v>
      </c>
      <c r="K86">
        <v>20</v>
      </c>
      <c r="L86">
        <f>IF(K86="",0,K86)</f>
        <v>20</v>
      </c>
      <c r="M86">
        <v>450</v>
      </c>
      <c r="N86">
        <f>IF(M86="",0,M86)</f>
        <v>450</v>
      </c>
      <c r="O86" t="str">
        <f>IF(L86&lt;0,"NEGATIVE QUANTITY","")</f>
        <v/>
      </c>
      <c r="P86">
        <f t="shared" si="6"/>
        <v>20</v>
      </c>
      <c r="Q86">
        <f>VLOOKUP(H86,'Product Cost Lookup'!A:D,4,FALSE)</f>
        <v>300</v>
      </c>
      <c r="R86" t="str">
        <f>VLOOKUP(H86,'Product Cost Lookup'!A:D,3,FALSE)</f>
        <v>Electronics</v>
      </c>
      <c r="S86">
        <f t="shared" si="7"/>
        <v>9000</v>
      </c>
      <c r="T86">
        <f t="shared" si="8"/>
        <v>6000</v>
      </c>
      <c r="U86">
        <f t="shared" si="9"/>
        <v>3000</v>
      </c>
      <c r="V86" s="3">
        <f t="shared" si="10"/>
        <v>0.33333333333333331</v>
      </c>
      <c r="W86" t="str">
        <f t="shared" si="11"/>
        <v>Jan</v>
      </c>
    </row>
    <row r="87" spans="1:23">
      <c r="A87">
        <v>10054</v>
      </c>
      <c r="B87" s="2">
        <v>45326</v>
      </c>
      <c r="C87">
        <v>45326</v>
      </c>
      <c r="D87" t="s">
        <v>19</v>
      </c>
      <c r="E87" t="str">
        <f>IF(TRIM(D87)="","Unknown",PROPER(TRIM(D87)))</f>
        <v>Eldoret</v>
      </c>
      <c r="F87" t="s">
        <v>81</v>
      </c>
      <c r="G87" t="str">
        <f>PROPER(TRIM(F87))</f>
        <v>Aisha Hassan</v>
      </c>
      <c r="H87" t="s">
        <v>38</v>
      </c>
      <c r="I87" t="s">
        <v>119</v>
      </c>
      <c r="J87" t="str">
        <f>PROPER(TRIM(I87))</f>
        <v>Usb Wall Charger Uc-5</v>
      </c>
      <c r="K87">
        <v>2</v>
      </c>
      <c r="L87">
        <f>IF(K87="",0,K87)</f>
        <v>2</v>
      </c>
      <c r="M87">
        <v>600</v>
      </c>
      <c r="N87">
        <f>IF(M87="",0,M87)</f>
        <v>600</v>
      </c>
      <c r="O87" t="str">
        <f>IF(L87&lt;0,"NEGATIVE QUANTITY","")</f>
        <v/>
      </c>
      <c r="P87">
        <f t="shared" si="6"/>
        <v>2</v>
      </c>
      <c r="Q87">
        <f>VLOOKUP(H87,'Product Cost Lookup'!A:D,4,FALSE)</f>
        <v>300</v>
      </c>
      <c r="R87" t="str">
        <f>VLOOKUP(H87,'Product Cost Lookup'!A:D,3,FALSE)</f>
        <v>Electronics</v>
      </c>
      <c r="S87">
        <f t="shared" si="7"/>
        <v>1200</v>
      </c>
      <c r="T87">
        <f t="shared" si="8"/>
        <v>600</v>
      </c>
      <c r="U87">
        <f t="shared" si="9"/>
        <v>600</v>
      </c>
      <c r="V87" s="3">
        <f t="shared" si="10"/>
        <v>0.5</v>
      </c>
      <c r="W87" t="str">
        <f t="shared" si="11"/>
        <v>Feb</v>
      </c>
    </row>
    <row r="88" spans="1:23">
      <c r="A88">
        <v>10133</v>
      </c>
      <c r="B88" s="1">
        <v>45344</v>
      </c>
      <c r="C88">
        <v>45344</v>
      </c>
      <c r="D88" t="s">
        <v>40</v>
      </c>
      <c r="E88" t="str">
        <f>IF(TRIM(D88)="","Unknown",PROPER(TRIM(D88)))</f>
        <v>Thika</v>
      </c>
      <c r="F88" t="s">
        <v>81</v>
      </c>
      <c r="G88" t="str">
        <f>PROPER(TRIM(F88))</f>
        <v>Aisha Hassan</v>
      </c>
      <c r="H88" t="s">
        <v>38</v>
      </c>
      <c r="I88" t="s">
        <v>39</v>
      </c>
      <c r="J88" t="str">
        <f>PROPER(TRIM(I88))</f>
        <v>Usb Wall Charger Uc-5</v>
      </c>
      <c r="K88">
        <v>20</v>
      </c>
      <c r="L88">
        <f>IF(K88="",0,K88)</f>
        <v>20</v>
      </c>
      <c r="M88">
        <v>500</v>
      </c>
      <c r="N88">
        <f>IF(M88="",0,M88)</f>
        <v>500</v>
      </c>
      <c r="O88" t="str">
        <f>IF(L88&lt;0,"NEGATIVE QUANTITY","")</f>
        <v/>
      </c>
      <c r="P88">
        <f t="shared" si="6"/>
        <v>20</v>
      </c>
      <c r="Q88">
        <f>VLOOKUP(H88,'Product Cost Lookup'!A:D,4,FALSE)</f>
        <v>300</v>
      </c>
      <c r="R88" t="str">
        <f>VLOOKUP(H88,'Product Cost Lookup'!A:D,3,FALSE)</f>
        <v>Electronics</v>
      </c>
      <c r="S88">
        <f t="shared" si="7"/>
        <v>10000</v>
      </c>
      <c r="T88">
        <f t="shared" si="8"/>
        <v>6000</v>
      </c>
      <c r="U88">
        <f t="shared" si="9"/>
        <v>4000</v>
      </c>
      <c r="V88" s="3">
        <f t="shared" si="10"/>
        <v>0.4</v>
      </c>
      <c r="W88" t="str">
        <f t="shared" si="11"/>
        <v>Feb</v>
      </c>
    </row>
    <row r="89" spans="1:23">
      <c r="A89">
        <v>10105</v>
      </c>
      <c r="B89" t="s">
        <v>121</v>
      </c>
      <c r="C89">
        <v>45338</v>
      </c>
      <c r="D89" t="s">
        <v>74</v>
      </c>
      <c r="E89" t="str">
        <f>IF(TRIM(D89)="","Unknown",PROPER(TRIM(D89)))</f>
        <v>Nairobi</v>
      </c>
      <c r="F89" t="s">
        <v>62</v>
      </c>
      <c r="G89" t="str">
        <f>PROPER(TRIM(F89))</f>
        <v>John Mwangi</v>
      </c>
      <c r="H89" t="s">
        <v>65</v>
      </c>
      <c r="I89" t="s">
        <v>73</v>
      </c>
      <c r="J89" t="str">
        <f>PROPER(TRIM(I89))</f>
        <v>Mosquito Net - Family Size</v>
      </c>
      <c r="K89">
        <v>10</v>
      </c>
      <c r="L89">
        <f>IF(K89="",0,K89)</f>
        <v>10</v>
      </c>
      <c r="M89">
        <v>600</v>
      </c>
      <c r="N89">
        <f>IF(M89="",0,M89)</f>
        <v>600</v>
      </c>
      <c r="O89" t="str">
        <f>IF(L89&lt;0,"NEGATIVE QUANTITY","")</f>
        <v/>
      </c>
      <c r="P89">
        <f t="shared" si="6"/>
        <v>10</v>
      </c>
      <c r="Q89">
        <f>VLOOKUP(H89,'Product Cost Lookup'!A:D,4,FALSE)</f>
        <v>400</v>
      </c>
      <c r="R89" t="str">
        <f>VLOOKUP(H89,'Product Cost Lookup'!A:D,3,FALSE)</f>
        <v>Household</v>
      </c>
      <c r="S89">
        <f t="shared" si="7"/>
        <v>6000</v>
      </c>
      <c r="T89">
        <f t="shared" si="8"/>
        <v>4000</v>
      </c>
      <c r="U89">
        <f t="shared" si="9"/>
        <v>2000</v>
      </c>
      <c r="V89" s="3">
        <f t="shared" si="10"/>
        <v>0.33333333333333331</v>
      </c>
      <c r="W89" t="str">
        <f t="shared" si="11"/>
        <v>Feb</v>
      </c>
    </row>
    <row r="90" spans="1:23">
      <c r="A90">
        <v>10019</v>
      </c>
      <c r="B90" s="1">
        <v>45376</v>
      </c>
      <c r="C90">
        <v>45376</v>
      </c>
      <c r="D90" t="s">
        <v>19</v>
      </c>
      <c r="E90" t="str">
        <f>IF(TRIM(D90)="","Unknown",PROPER(TRIM(D90)))</f>
        <v>Eldoret</v>
      </c>
      <c r="F90" t="s">
        <v>24</v>
      </c>
      <c r="G90" t="str">
        <f>PROPER(TRIM(F90))</f>
        <v>Mercy Njeri</v>
      </c>
      <c r="H90" t="s">
        <v>21</v>
      </c>
      <c r="I90" t="s">
        <v>22</v>
      </c>
      <c r="J90" t="str">
        <f>PROPER(TRIM(I90))</f>
        <v>Water Dispenser Stand</v>
      </c>
      <c r="K90">
        <v>5</v>
      </c>
      <c r="L90">
        <f>IF(K90="",0,K90)</f>
        <v>5</v>
      </c>
      <c r="M90">
        <v>2300</v>
      </c>
      <c r="N90">
        <f>IF(M90="",0,M90)</f>
        <v>2300</v>
      </c>
      <c r="O90" t="str">
        <f>IF(L90&lt;0,"NEGATIVE QUANTITY","")</f>
        <v/>
      </c>
      <c r="P90">
        <f t="shared" si="6"/>
        <v>5</v>
      </c>
      <c r="Q90">
        <f>VLOOKUP(H90,'Product Cost Lookup'!A:D,4,FALSE)</f>
        <v>1500</v>
      </c>
      <c r="R90" t="str">
        <f>VLOOKUP(H90,'Product Cost Lookup'!A:D,3,FALSE)</f>
        <v>Household</v>
      </c>
      <c r="S90">
        <f t="shared" si="7"/>
        <v>11500</v>
      </c>
      <c r="T90">
        <f t="shared" si="8"/>
        <v>7500</v>
      </c>
      <c r="U90">
        <f t="shared" si="9"/>
        <v>4000</v>
      </c>
      <c r="V90" s="3">
        <f t="shared" si="10"/>
        <v>0.34782608695652173</v>
      </c>
      <c r="W90" t="str">
        <f t="shared" si="11"/>
        <v>Mar</v>
      </c>
    </row>
    <row r="91" spans="1:23">
      <c r="A91">
        <v>10136</v>
      </c>
      <c r="B91" s="1">
        <v>45378</v>
      </c>
      <c r="C91">
        <v>45378</v>
      </c>
      <c r="D91" t="s">
        <v>15</v>
      </c>
      <c r="E91" t="str">
        <f>IF(TRIM(D91)="","Unknown",PROPER(TRIM(D91)))</f>
        <v>Mombasa</v>
      </c>
      <c r="F91" t="s">
        <v>122</v>
      </c>
      <c r="G91" t="str">
        <f>PROPER(TRIM(F91))</f>
        <v>Peter Otieno</v>
      </c>
      <c r="H91" t="s">
        <v>90</v>
      </c>
      <c r="I91" t="s">
        <v>96</v>
      </c>
      <c r="J91" t="str">
        <f>PROPER(TRIM(I91))</f>
        <v>Wheelbarrow - Heavy Duty</v>
      </c>
      <c r="K91">
        <v>20</v>
      </c>
      <c r="L91">
        <f>IF(K91="",0,K91)</f>
        <v>20</v>
      </c>
      <c r="M91">
        <v>5250</v>
      </c>
      <c r="N91">
        <f>IF(M91="",0,M91)</f>
        <v>5250</v>
      </c>
      <c r="O91" t="str">
        <f>IF(L91&lt;0,"NEGATIVE QUANTITY","")</f>
        <v/>
      </c>
      <c r="P91">
        <f t="shared" si="6"/>
        <v>20</v>
      </c>
      <c r="Q91">
        <f>VLOOKUP(H91,'Product Cost Lookup'!A:D,4,FALSE)</f>
        <v>3500</v>
      </c>
      <c r="R91" t="str">
        <f>VLOOKUP(H91,'Product Cost Lookup'!A:D,3,FALSE)</f>
        <v>Hardware</v>
      </c>
      <c r="S91">
        <f t="shared" si="7"/>
        <v>105000</v>
      </c>
      <c r="T91">
        <f t="shared" si="8"/>
        <v>70000</v>
      </c>
      <c r="U91">
        <f t="shared" si="9"/>
        <v>35000</v>
      </c>
      <c r="V91" s="3">
        <f t="shared" si="10"/>
        <v>0.33333333333333331</v>
      </c>
      <c r="W91" t="str">
        <f t="shared" si="11"/>
        <v>Mar</v>
      </c>
    </row>
    <row r="92" spans="1:23">
      <c r="A92">
        <v>10020</v>
      </c>
      <c r="B92" s="1">
        <v>45304</v>
      </c>
      <c r="C92">
        <v>45304</v>
      </c>
      <c r="D92" t="s">
        <v>123</v>
      </c>
      <c r="E92" t="str">
        <f>IF(TRIM(D92)="","Unknown",PROPER(TRIM(D92)))</f>
        <v>Nairobi</v>
      </c>
      <c r="F92" t="s">
        <v>14</v>
      </c>
      <c r="G92" t="str">
        <f>PROPER(TRIM(F92))</f>
        <v>Faith Wanjiru</v>
      </c>
      <c r="H92" t="s">
        <v>111</v>
      </c>
      <c r="I92" t="s">
        <v>112</v>
      </c>
      <c r="J92" t="str">
        <f>PROPER(TRIM(I92))</f>
        <v>Thermos Flask 1L</v>
      </c>
      <c r="K92">
        <v>5</v>
      </c>
      <c r="L92">
        <f>IF(K92="",0,K92)</f>
        <v>5</v>
      </c>
      <c r="M92">
        <v>900</v>
      </c>
      <c r="N92">
        <f>IF(M92="",0,M92)</f>
        <v>900</v>
      </c>
      <c r="O92" t="str">
        <f>IF(L92&lt;0,"NEGATIVE QUANTITY","")</f>
        <v/>
      </c>
      <c r="P92">
        <f t="shared" si="6"/>
        <v>5</v>
      </c>
      <c r="Q92">
        <f>VLOOKUP(H92,'Product Cost Lookup'!A:D,4,FALSE)</f>
        <v>550</v>
      </c>
      <c r="R92" t="str">
        <f>VLOOKUP(H92,'Product Cost Lookup'!A:D,3,FALSE)</f>
        <v>Kitchenware</v>
      </c>
      <c r="S92">
        <f t="shared" si="7"/>
        <v>4500</v>
      </c>
      <c r="T92">
        <f t="shared" si="8"/>
        <v>2750</v>
      </c>
      <c r="U92">
        <f t="shared" si="9"/>
        <v>1750</v>
      </c>
      <c r="V92" s="3">
        <f t="shared" si="10"/>
        <v>0.3888888888888889</v>
      </c>
      <c r="W92" t="str">
        <f t="shared" si="11"/>
        <v>Jan</v>
      </c>
    </row>
    <row r="93" spans="1:23">
      <c r="A93">
        <v>10085</v>
      </c>
      <c r="B93" s="1">
        <v>45359</v>
      </c>
      <c r="C93">
        <v>45359</v>
      </c>
      <c r="D93" t="s">
        <v>15</v>
      </c>
      <c r="E93" t="str">
        <f>IF(TRIM(D93)="","Unknown",PROPER(TRIM(D93)))</f>
        <v>Mombasa</v>
      </c>
      <c r="F93" t="s">
        <v>48</v>
      </c>
      <c r="G93" t="str">
        <f>PROPER(TRIM(F93))</f>
        <v>Brian Mutua</v>
      </c>
      <c r="H93" t="s">
        <v>65</v>
      </c>
      <c r="I93" t="s">
        <v>124</v>
      </c>
      <c r="J93" t="str">
        <f>PROPER(TRIM(I93))</f>
        <v>Mosquito Net - Family Size</v>
      </c>
      <c r="K93">
        <v>10</v>
      </c>
      <c r="L93">
        <f>IF(K93="",0,K93)</f>
        <v>10</v>
      </c>
      <c r="M93">
        <v>650</v>
      </c>
      <c r="N93">
        <f>IF(M93="",0,M93)</f>
        <v>650</v>
      </c>
      <c r="O93" t="str">
        <f>IF(L93&lt;0,"NEGATIVE QUANTITY","")</f>
        <v/>
      </c>
      <c r="P93">
        <f t="shared" si="6"/>
        <v>10</v>
      </c>
      <c r="Q93">
        <f>VLOOKUP(H93,'Product Cost Lookup'!A:D,4,FALSE)</f>
        <v>400</v>
      </c>
      <c r="R93" t="str">
        <f>VLOOKUP(H93,'Product Cost Lookup'!A:D,3,FALSE)</f>
        <v>Household</v>
      </c>
      <c r="S93">
        <f t="shared" si="7"/>
        <v>6500</v>
      </c>
      <c r="T93">
        <f t="shared" si="8"/>
        <v>4000</v>
      </c>
      <c r="U93">
        <f t="shared" si="9"/>
        <v>2500</v>
      </c>
      <c r="V93" s="3">
        <f t="shared" si="10"/>
        <v>0.38461538461538464</v>
      </c>
      <c r="W93" t="str">
        <f t="shared" si="11"/>
        <v>Mar</v>
      </c>
    </row>
    <row r="94" spans="1:23">
      <c r="A94">
        <v>10073</v>
      </c>
      <c r="B94" s="1">
        <v>45444</v>
      </c>
      <c r="C94">
        <v>45444</v>
      </c>
      <c r="D94" t="s">
        <v>74</v>
      </c>
      <c r="E94" t="str">
        <f>IF(TRIM(D94)="","Unknown",PROPER(TRIM(D94)))</f>
        <v>Nairobi</v>
      </c>
      <c r="F94" t="s">
        <v>46</v>
      </c>
      <c r="G94" t="str">
        <f>PROPER(TRIM(F94))</f>
        <v>Samuel Kiptoo</v>
      </c>
      <c r="H94" t="s">
        <v>38</v>
      </c>
      <c r="I94" t="s">
        <v>39</v>
      </c>
      <c r="J94" t="str">
        <f>PROPER(TRIM(I94))</f>
        <v>Usb Wall Charger Uc-5</v>
      </c>
      <c r="K94">
        <v>2</v>
      </c>
      <c r="L94">
        <f>IF(K94="",0,K94)</f>
        <v>2</v>
      </c>
      <c r="M94">
        <v>450</v>
      </c>
      <c r="N94">
        <f>IF(M94="",0,M94)</f>
        <v>450</v>
      </c>
      <c r="O94" t="str">
        <f>IF(L94&lt;0,"NEGATIVE QUANTITY","")</f>
        <v/>
      </c>
      <c r="P94">
        <f t="shared" si="6"/>
        <v>2</v>
      </c>
      <c r="Q94">
        <f>VLOOKUP(H94,'Product Cost Lookup'!A:D,4,FALSE)</f>
        <v>300</v>
      </c>
      <c r="R94" t="str">
        <f>VLOOKUP(H94,'Product Cost Lookup'!A:D,3,FALSE)</f>
        <v>Electronics</v>
      </c>
      <c r="S94">
        <f t="shared" si="7"/>
        <v>900</v>
      </c>
      <c r="T94">
        <f t="shared" si="8"/>
        <v>600</v>
      </c>
      <c r="U94">
        <f t="shared" si="9"/>
        <v>300</v>
      </c>
      <c r="V94" s="3">
        <f t="shared" si="10"/>
        <v>0.33333333333333331</v>
      </c>
      <c r="W94" t="str">
        <f t="shared" si="11"/>
        <v>Jun</v>
      </c>
    </row>
    <row r="95" spans="1:23">
      <c r="A95">
        <v>10149</v>
      </c>
      <c r="B95" s="1">
        <v>45326</v>
      </c>
      <c r="C95">
        <v>45326</v>
      </c>
      <c r="D95" t="s">
        <v>63</v>
      </c>
      <c r="E95" t="str">
        <f>IF(TRIM(D95)="","Unknown",PROPER(TRIM(D95)))</f>
        <v>Nakuru</v>
      </c>
      <c r="F95" t="s">
        <v>62</v>
      </c>
      <c r="G95" t="str">
        <f>PROPER(TRIM(F95))</f>
        <v>John Mwangi</v>
      </c>
      <c r="H95" t="s">
        <v>55</v>
      </c>
      <c r="I95" t="s">
        <v>56</v>
      </c>
      <c r="J95" t="str">
        <f>PROPER(TRIM(I95))</f>
        <v>Led Bulb 9W (Pack Of 4)</v>
      </c>
      <c r="K95">
        <v>2</v>
      </c>
      <c r="L95">
        <f>IF(K95="",0,K95)</f>
        <v>2</v>
      </c>
      <c r="M95">
        <v>780</v>
      </c>
      <c r="N95">
        <f>IF(M95="",0,M95)</f>
        <v>780</v>
      </c>
      <c r="O95" t="str">
        <f>IF(L95&lt;0,"NEGATIVE QUANTITY","")</f>
        <v/>
      </c>
      <c r="P95">
        <f t="shared" si="6"/>
        <v>2</v>
      </c>
      <c r="Q95">
        <f>VLOOKUP(H95,'Product Cost Lookup'!A:D,4,FALSE)</f>
        <v>480</v>
      </c>
      <c r="R95" t="str">
        <f>VLOOKUP(H95,'Product Cost Lookup'!A:D,3,FALSE)</f>
        <v>Electronics</v>
      </c>
      <c r="S95">
        <f t="shared" si="7"/>
        <v>1560</v>
      </c>
      <c r="T95">
        <f t="shared" si="8"/>
        <v>960</v>
      </c>
      <c r="U95">
        <f t="shared" si="9"/>
        <v>600</v>
      </c>
      <c r="V95" s="3">
        <f t="shared" si="10"/>
        <v>0.38461538461538464</v>
      </c>
      <c r="W95" t="str">
        <f t="shared" si="11"/>
        <v>Feb</v>
      </c>
    </row>
    <row r="96" spans="1:23">
      <c r="A96">
        <v>10022</v>
      </c>
      <c r="B96" s="1">
        <v>45353</v>
      </c>
      <c r="C96">
        <v>45353</v>
      </c>
      <c r="D96" t="s">
        <v>79</v>
      </c>
      <c r="E96" t="str">
        <f>IF(TRIM(D96)="","Unknown",PROPER(TRIM(D96)))</f>
        <v>Eldoret</v>
      </c>
      <c r="F96" t="s">
        <v>80</v>
      </c>
      <c r="G96" t="str">
        <f>PROPER(TRIM(F96))</f>
        <v>Aisha Hassan</v>
      </c>
      <c r="H96" t="s">
        <v>93</v>
      </c>
      <c r="I96" t="s">
        <v>125</v>
      </c>
      <c r="J96" t="str">
        <f>PROPER(TRIM(I96))</f>
        <v>Non-Stick Frying Pan 28Cm</v>
      </c>
      <c r="K96">
        <v>1</v>
      </c>
      <c r="L96">
        <f>IF(K96="",0,K96)</f>
        <v>1</v>
      </c>
      <c r="M96">
        <v>1050</v>
      </c>
      <c r="N96">
        <f>IF(M96="",0,M96)</f>
        <v>1050</v>
      </c>
      <c r="O96" t="str">
        <f>IF(L96&lt;0,"NEGATIVE QUANTITY","")</f>
        <v/>
      </c>
      <c r="P96">
        <f t="shared" si="6"/>
        <v>1</v>
      </c>
      <c r="Q96">
        <f>VLOOKUP(H96,'Product Cost Lookup'!A:D,4,FALSE)</f>
        <v>700</v>
      </c>
      <c r="R96" t="str">
        <f>VLOOKUP(H96,'Product Cost Lookup'!A:D,3,FALSE)</f>
        <v>Kitchenware</v>
      </c>
      <c r="S96">
        <f t="shared" si="7"/>
        <v>1050</v>
      </c>
      <c r="T96">
        <f t="shared" si="8"/>
        <v>700</v>
      </c>
      <c r="U96">
        <f t="shared" si="9"/>
        <v>350</v>
      </c>
      <c r="V96" s="3">
        <f t="shared" si="10"/>
        <v>0.33333333333333331</v>
      </c>
      <c r="W96" t="str">
        <f t="shared" si="11"/>
        <v>Mar</v>
      </c>
    </row>
    <row r="97" spans="1:23">
      <c r="A97">
        <v>10006</v>
      </c>
      <c r="B97" s="1">
        <v>45299</v>
      </c>
      <c r="C97">
        <v>45299</v>
      </c>
      <c r="D97" t="s">
        <v>15</v>
      </c>
      <c r="E97" t="str">
        <f>IF(TRIM(D97)="","Unknown",PROPER(TRIM(D97)))</f>
        <v>Mombasa</v>
      </c>
      <c r="F97" t="s">
        <v>62</v>
      </c>
      <c r="G97" t="str">
        <f>PROPER(TRIM(F97))</f>
        <v>John Mwangi</v>
      </c>
      <c r="H97" t="s">
        <v>10</v>
      </c>
      <c r="I97" t="s">
        <v>11</v>
      </c>
      <c r="J97" t="str">
        <f>PROPER(TRIM(I97))</f>
        <v>Kitchen Knife Set</v>
      </c>
      <c r="K97">
        <v>6</v>
      </c>
      <c r="L97">
        <f>IF(K97="",0,K97)</f>
        <v>6</v>
      </c>
      <c r="M97">
        <v>1350</v>
      </c>
      <c r="N97">
        <f>IF(M97="",0,M97)</f>
        <v>1350</v>
      </c>
      <c r="O97" t="str">
        <f>IF(L97&lt;0,"NEGATIVE QUANTITY","")</f>
        <v/>
      </c>
      <c r="P97">
        <f t="shared" si="6"/>
        <v>6</v>
      </c>
      <c r="Q97">
        <f>VLOOKUP(H97,'Product Cost Lookup'!A:D,4,FALSE)</f>
        <v>800</v>
      </c>
      <c r="R97" t="str">
        <f>VLOOKUP(H97,'Product Cost Lookup'!A:D,3,FALSE)</f>
        <v>Kitchenware</v>
      </c>
      <c r="S97">
        <f t="shared" si="7"/>
        <v>8100</v>
      </c>
      <c r="T97">
        <f t="shared" si="8"/>
        <v>4800</v>
      </c>
      <c r="U97">
        <f t="shared" si="9"/>
        <v>3300</v>
      </c>
      <c r="V97" s="3">
        <f t="shared" si="10"/>
        <v>0.40740740740740738</v>
      </c>
      <c r="W97" t="str">
        <f t="shared" si="11"/>
        <v>Jan</v>
      </c>
    </row>
    <row r="98" spans="1:23">
      <c r="A98">
        <v>10314</v>
      </c>
      <c r="B98" s="1">
        <v>45361</v>
      </c>
      <c r="C98">
        <v>45361</v>
      </c>
      <c r="D98" t="s">
        <v>35</v>
      </c>
      <c r="E98" t="str">
        <f>IF(TRIM(D98)="","Unknown",PROPER(TRIM(D98)))</f>
        <v>Kisumu</v>
      </c>
      <c r="F98" t="s">
        <v>81</v>
      </c>
      <c r="G98" t="str">
        <f>PROPER(TRIM(F98))</f>
        <v>Aisha Hassan</v>
      </c>
      <c r="H98" t="s">
        <v>53</v>
      </c>
      <c r="I98" t="s">
        <v>72</v>
      </c>
      <c r="J98" t="str">
        <f>PROPER(TRIM(I98))</f>
        <v>Rechargeable Torch Rt-10</v>
      </c>
      <c r="K98">
        <v>12</v>
      </c>
      <c r="L98">
        <f>IF(K98="",0,K98)</f>
        <v>12</v>
      </c>
      <c r="M98">
        <v>950</v>
      </c>
      <c r="N98">
        <f>IF(M98="",0,M98)</f>
        <v>950</v>
      </c>
      <c r="O98" t="str">
        <f>IF(L98&lt;0,"NEGATIVE QUANTITY","")</f>
        <v/>
      </c>
      <c r="P98">
        <f t="shared" si="6"/>
        <v>12</v>
      </c>
      <c r="Q98">
        <f>VLOOKUP(H98,'Product Cost Lookup'!A:D,4,FALSE)</f>
        <v>600</v>
      </c>
      <c r="R98" t="str">
        <f>VLOOKUP(H98,'Product Cost Lookup'!A:D,3,FALSE)</f>
        <v>Electronics</v>
      </c>
      <c r="S98">
        <f t="shared" si="7"/>
        <v>11400</v>
      </c>
      <c r="T98">
        <f t="shared" si="8"/>
        <v>7200</v>
      </c>
      <c r="U98">
        <f t="shared" si="9"/>
        <v>4200</v>
      </c>
      <c r="V98" s="3">
        <f t="shared" si="10"/>
        <v>0.36842105263157893</v>
      </c>
      <c r="W98" t="str">
        <f t="shared" si="11"/>
        <v>Mar</v>
      </c>
    </row>
    <row r="99" spans="1:23">
      <c r="A99">
        <v>10247</v>
      </c>
      <c r="B99" s="1">
        <v>45357</v>
      </c>
      <c r="C99">
        <v>45357</v>
      </c>
      <c r="D99" t="s">
        <v>123</v>
      </c>
      <c r="E99" t="str">
        <f>IF(TRIM(D99)="","Unknown",PROPER(TRIM(D99)))</f>
        <v>Nairobi</v>
      </c>
      <c r="F99" t="s">
        <v>16</v>
      </c>
      <c r="G99" t="str">
        <f>PROPER(TRIM(F99))</f>
        <v>Grace Achieng</v>
      </c>
      <c r="H99" t="s">
        <v>21</v>
      </c>
      <c r="I99" t="s">
        <v>22</v>
      </c>
      <c r="J99" t="str">
        <f>PROPER(TRIM(I99))</f>
        <v>Water Dispenser Stand</v>
      </c>
      <c r="K99">
        <v>5</v>
      </c>
      <c r="L99">
        <f>IF(K99="",0,K99)</f>
        <v>5</v>
      </c>
      <c r="M99">
        <v>2300</v>
      </c>
      <c r="N99">
        <f>IF(M99="",0,M99)</f>
        <v>2300</v>
      </c>
      <c r="O99" t="str">
        <f>IF(L99&lt;0,"NEGATIVE QUANTITY","")</f>
        <v/>
      </c>
      <c r="P99">
        <f t="shared" si="6"/>
        <v>5</v>
      </c>
      <c r="Q99">
        <f>VLOOKUP(H99,'Product Cost Lookup'!A:D,4,FALSE)</f>
        <v>1500</v>
      </c>
      <c r="R99" t="str">
        <f>VLOOKUP(H99,'Product Cost Lookup'!A:D,3,FALSE)</f>
        <v>Household</v>
      </c>
      <c r="S99">
        <f t="shared" si="7"/>
        <v>11500</v>
      </c>
      <c r="T99">
        <f t="shared" si="8"/>
        <v>7500</v>
      </c>
      <c r="U99">
        <f t="shared" si="9"/>
        <v>4000</v>
      </c>
      <c r="V99" s="3">
        <f t="shared" si="10"/>
        <v>0.34782608695652173</v>
      </c>
      <c r="W99" t="str">
        <f t="shared" si="11"/>
        <v>Mar</v>
      </c>
    </row>
    <row r="100" spans="1:23">
      <c r="A100">
        <v>10325</v>
      </c>
      <c r="B100" s="2">
        <v>45368</v>
      </c>
      <c r="C100">
        <v>45368</v>
      </c>
      <c r="D100" t="s">
        <v>19</v>
      </c>
      <c r="E100" t="str">
        <f>IF(TRIM(D100)="","Unknown",PROPER(TRIM(D100)))</f>
        <v>Eldoret</v>
      </c>
      <c r="F100" t="s">
        <v>9</v>
      </c>
      <c r="G100" t="str">
        <f>PROPER(TRIM(F100))</f>
        <v>Peter Otieno</v>
      </c>
      <c r="H100" t="s">
        <v>50</v>
      </c>
      <c r="I100" t="s">
        <v>71</v>
      </c>
      <c r="J100" t="str">
        <f>PROPER(TRIM(I100))</f>
        <v>Solar Lantern Sl-200</v>
      </c>
      <c r="K100">
        <v>12</v>
      </c>
      <c r="L100">
        <f>IF(K100="",0,K100)</f>
        <v>12</v>
      </c>
      <c r="M100">
        <v>1450</v>
      </c>
      <c r="N100">
        <f>IF(M100="",0,M100)</f>
        <v>1450</v>
      </c>
      <c r="O100" t="str">
        <f>IF(L100&lt;0,"NEGATIVE QUANTITY","")</f>
        <v/>
      </c>
      <c r="P100">
        <f t="shared" si="6"/>
        <v>12</v>
      </c>
      <c r="Q100">
        <f>VLOOKUP(H100,'Product Cost Lookup'!A:D,4,FALSE)</f>
        <v>900</v>
      </c>
      <c r="R100" t="str">
        <f>VLOOKUP(H100,'Product Cost Lookup'!A:D,3,FALSE)</f>
        <v>Electronics</v>
      </c>
      <c r="S100">
        <f t="shared" si="7"/>
        <v>17400</v>
      </c>
      <c r="T100">
        <f t="shared" si="8"/>
        <v>10800</v>
      </c>
      <c r="U100">
        <f t="shared" si="9"/>
        <v>6600</v>
      </c>
      <c r="V100" s="3">
        <f t="shared" si="10"/>
        <v>0.37931034482758619</v>
      </c>
      <c r="W100" t="str">
        <f t="shared" si="11"/>
        <v>Mar</v>
      </c>
    </row>
    <row r="101" spans="1:23">
      <c r="A101">
        <v>10283</v>
      </c>
      <c r="B101" s="1">
        <v>45354</v>
      </c>
      <c r="C101">
        <v>45354</v>
      </c>
      <c r="D101" t="s">
        <v>47</v>
      </c>
      <c r="E101" t="str">
        <f>IF(TRIM(D101)="","Unknown",PROPER(TRIM(D101)))</f>
        <v>Mombasa</v>
      </c>
      <c r="F101" t="s">
        <v>16</v>
      </c>
      <c r="G101" t="str">
        <f>PROPER(TRIM(F101))</f>
        <v>Grace Achieng</v>
      </c>
      <c r="H101" t="s">
        <v>93</v>
      </c>
      <c r="I101" t="s">
        <v>94</v>
      </c>
      <c r="J101" t="str">
        <f>PROPER(TRIM(I101))</f>
        <v>Non-Stick Frying Pan 28Cm</v>
      </c>
      <c r="K101">
        <v>6</v>
      </c>
      <c r="L101">
        <f>IF(K101="",0,K101)</f>
        <v>6</v>
      </c>
      <c r="M101">
        <v>1100</v>
      </c>
      <c r="N101">
        <f>IF(M101="",0,M101)</f>
        <v>1100</v>
      </c>
      <c r="O101" t="str">
        <f>IF(L101&lt;0,"NEGATIVE QUANTITY","")</f>
        <v/>
      </c>
      <c r="P101">
        <f t="shared" si="6"/>
        <v>6</v>
      </c>
      <c r="Q101">
        <f>VLOOKUP(H101,'Product Cost Lookup'!A:D,4,FALSE)</f>
        <v>700</v>
      </c>
      <c r="R101" t="str">
        <f>VLOOKUP(H101,'Product Cost Lookup'!A:D,3,FALSE)</f>
        <v>Kitchenware</v>
      </c>
      <c r="S101">
        <f t="shared" si="7"/>
        <v>6600</v>
      </c>
      <c r="T101">
        <f t="shared" si="8"/>
        <v>4200</v>
      </c>
      <c r="U101">
        <f t="shared" si="9"/>
        <v>2400</v>
      </c>
      <c r="V101" s="3">
        <f t="shared" si="10"/>
        <v>0.36363636363636365</v>
      </c>
      <c r="W101" t="str">
        <f t="shared" si="11"/>
        <v>Mar</v>
      </c>
    </row>
    <row r="102" spans="1:23">
      <c r="A102">
        <v>10066</v>
      </c>
      <c r="B102" s="1">
        <v>45355</v>
      </c>
      <c r="C102">
        <v>45355</v>
      </c>
      <c r="D102" t="s">
        <v>100</v>
      </c>
      <c r="E102" t="str">
        <f>IF(TRIM(D102)="","Unknown",PROPER(TRIM(D102)))</f>
        <v>Eldoret</v>
      </c>
      <c r="F102" t="s">
        <v>104</v>
      </c>
      <c r="G102" t="str">
        <f>PROPER(TRIM(F102))</f>
        <v>Peter Otieno</v>
      </c>
      <c r="H102" t="s">
        <v>77</v>
      </c>
      <c r="I102" t="s">
        <v>78</v>
      </c>
      <c r="J102" t="str">
        <f>PROPER(TRIM(I102))</f>
        <v>Cooking Gas Burner Cb-2</v>
      </c>
      <c r="K102">
        <v>10</v>
      </c>
      <c r="L102">
        <f>IF(K102="",0,K102)</f>
        <v>10</v>
      </c>
      <c r="M102">
        <v>1850</v>
      </c>
      <c r="N102">
        <f>IF(M102="",0,M102)</f>
        <v>1850</v>
      </c>
      <c r="O102" t="str">
        <f>IF(L102&lt;0,"NEGATIVE QUANTITY","")</f>
        <v/>
      </c>
      <c r="P102">
        <f t="shared" si="6"/>
        <v>10</v>
      </c>
      <c r="Q102">
        <f>VLOOKUP(H102,'Product Cost Lookup'!A:D,4,FALSE)</f>
        <v>1200</v>
      </c>
      <c r="R102" t="str">
        <f>VLOOKUP(H102,'Product Cost Lookup'!A:D,3,FALSE)</f>
        <v>Kitchenware</v>
      </c>
      <c r="S102">
        <f t="shared" si="7"/>
        <v>18500</v>
      </c>
      <c r="T102">
        <f t="shared" si="8"/>
        <v>12000</v>
      </c>
      <c r="U102">
        <f t="shared" si="9"/>
        <v>6500</v>
      </c>
      <c r="V102" s="3">
        <f t="shared" si="10"/>
        <v>0.35135135135135137</v>
      </c>
      <c r="W102" t="str">
        <f t="shared" si="11"/>
        <v>Mar</v>
      </c>
    </row>
    <row r="103" spans="1:23">
      <c r="A103">
        <v>10120</v>
      </c>
      <c r="B103" s="1">
        <v>45332</v>
      </c>
      <c r="C103">
        <v>45332</v>
      </c>
      <c r="D103" t="s">
        <v>101</v>
      </c>
      <c r="E103" t="str">
        <f>IF(TRIM(D103)="","Unknown",PROPER(TRIM(D103)))</f>
        <v>Thika</v>
      </c>
      <c r="F103" t="s">
        <v>24</v>
      </c>
      <c r="G103" t="str">
        <f>PROPER(TRIM(F103))</f>
        <v>Mercy Njeri</v>
      </c>
      <c r="H103" t="s">
        <v>30</v>
      </c>
      <c r="I103" t="s">
        <v>127</v>
      </c>
      <c r="J103" t="str">
        <f>PROPER(TRIM(I103))</f>
        <v>Garden Hose 20M</v>
      </c>
      <c r="K103">
        <v>6</v>
      </c>
      <c r="L103">
        <f>IF(K103="",0,K103)</f>
        <v>6</v>
      </c>
      <c r="M103">
        <v>1750</v>
      </c>
      <c r="N103">
        <f>IF(M103="",0,M103)</f>
        <v>1750</v>
      </c>
      <c r="O103" t="str">
        <f>IF(L103&lt;0,"NEGATIVE QUANTITY","")</f>
        <v/>
      </c>
      <c r="P103">
        <f t="shared" si="6"/>
        <v>6</v>
      </c>
      <c r="Q103">
        <f>VLOOKUP(H103,'Product Cost Lookup'!A:D,4,FALSE)</f>
        <v>1100</v>
      </c>
      <c r="R103" t="str">
        <f>VLOOKUP(H103,'Product Cost Lookup'!A:D,3,FALSE)</f>
        <v>Hardware</v>
      </c>
      <c r="S103">
        <f t="shared" si="7"/>
        <v>10500</v>
      </c>
      <c r="T103">
        <f t="shared" si="8"/>
        <v>6600</v>
      </c>
      <c r="U103">
        <f t="shared" si="9"/>
        <v>3900</v>
      </c>
      <c r="V103" s="3">
        <f t="shared" si="10"/>
        <v>0.37142857142857144</v>
      </c>
      <c r="W103" t="str">
        <f t="shared" si="11"/>
        <v>Feb</v>
      </c>
    </row>
    <row r="104" spans="1:23">
      <c r="A104">
        <v>10210</v>
      </c>
      <c r="B104" s="1">
        <v>45359</v>
      </c>
      <c r="C104">
        <v>45359</v>
      </c>
      <c r="D104" t="s">
        <v>35</v>
      </c>
      <c r="E104" t="str">
        <f>IF(TRIM(D104)="","Unknown",PROPER(TRIM(D104)))</f>
        <v>Kisumu</v>
      </c>
      <c r="F104" t="s">
        <v>14</v>
      </c>
      <c r="G104" t="str">
        <f>PROPER(TRIM(F104))</f>
        <v>Faith Wanjiru</v>
      </c>
      <c r="H104" t="s">
        <v>53</v>
      </c>
      <c r="I104" t="s">
        <v>72</v>
      </c>
      <c r="J104" t="str">
        <f>PROPER(TRIM(I104))</f>
        <v>Rechargeable Torch Rt-10</v>
      </c>
      <c r="K104">
        <v>2</v>
      </c>
      <c r="L104">
        <f>IF(K104="",0,K104)</f>
        <v>2</v>
      </c>
      <c r="M104">
        <v>950</v>
      </c>
      <c r="N104">
        <f>IF(M104="",0,M104)</f>
        <v>950</v>
      </c>
      <c r="O104" t="str">
        <f>IF(L104&lt;0,"NEGATIVE QUANTITY","")</f>
        <v/>
      </c>
      <c r="P104">
        <f t="shared" si="6"/>
        <v>2</v>
      </c>
      <c r="Q104">
        <f>VLOOKUP(H104,'Product Cost Lookup'!A:D,4,FALSE)</f>
        <v>600</v>
      </c>
      <c r="R104" t="str">
        <f>VLOOKUP(H104,'Product Cost Lookup'!A:D,3,FALSE)</f>
        <v>Electronics</v>
      </c>
      <c r="S104">
        <f t="shared" si="7"/>
        <v>1900</v>
      </c>
      <c r="T104">
        <f t="shared" si="8"/>
        <v>1200</v>
      </c>
      <c r="U104">
        <f t="shared" si="9"/>
        <v>700</v>
      </c>
      <c r="V104" s="3">
        <f t="shared" si="10"/>
        <v>0.36842105263157893</v>
      </c>
      <c r="W104" t="str">
        <f t="shared" si="11"/>
        <v>Mar</v>
      </c>
    </row>
    <row r="105" spans="1:23">
      <c r="A105">
        <v>10207</v>
      </c>
      <c r="B105" s="1">
        <v>45342</v>
      </c>
      <c r="C105">
        <v>45342</v>
      </c>
      <c r="D105" t="s">
        <v>63</v>
      </c>
      <c r="E105" t="str">
        <f>IF(TRIM(D105)="","Unknown",PROPER(TRIM(D105)))</f>
        <v>Nakuru</v>
      </c>
      <c r="F105" t="s">
        <v>62</v>
      </c>
      <c r="G105" t="str">
        <f>PROPER(TRIM(F105))</f>
        <v>John Mwangi</v>
      </c>
      <c r="H105" t="s">
        <v>65</v>
      </c>
      <c r="I105" t="s">
        <v>73</v>
      </c>
      <c r="J105" t="str">
        <f>PROPER(TRIM(I105))</f>
        <v>Mosquito Net - Family Size</v>
      </c>
      <c r="K105">
        <v>20</v>
      </c>
      <c r="L105">
        <f>IF(K105="",0,K105)</f>
        <v>20</v>
      </c>
      <c r="M105">
        <v>700</v>
      </c>
      <c r="N105">
        <f>IF(M105="",0,M105)</f>
        <v>700</v>
      </c>
      <c r="O105" t="str">
        <f>IF(L105&lt;0,"NEGATIVE QUANTITY","")</f>
        <v/>
      </c>
      <c r="P105">
        <f t="shared" si="6"/>
        <v>20</v>
      </c>
      <c r="Q105">
        <f>VLOOKUP(H105,'Product Cost Lookup'!A:D,4,FALSE)</f>
        <v>400</v>
      </c>
      <c r="R105" t="str">
        <f>VLOOKUP(H105,'Product Cost Lookup'!A:D,3,FALSE)</f>
        <v>Household</v>
      </c>
      <c r="S105">
        <f t="shared" si="7"/>
        <v>14000</v>
      </c>
      <c r="T105">
        <f t="shared" si="8"/>
        <v>8000</v>
      </c>
      <c r="U105">
        <f t="shared" si="9"/>
        <v>6000</v>
      </c>
      <c r="V105" s="3">
        <f t="shared" si="10"/>
        <v>0.42857142857142855</v>
      </c>
      <c r="W105" t="str">
        <f t="shared" si="11"/>
        <v>Feb</v>
      </c>
    </row>
    <row r="106" spans="1:23">
      <c r="A106">
        <v>10154</v>
      </c>
      <c r="B106" s="1">
        <v>45371</v>
      </c>
      <c r="C106">
        <v>45371</v>
      </c>
      <c r="D106" t="s">
        <v>40</v>
      </c>
      <c r="E106" t="str">
        <f>IF(TRIM(D106)="","Unknown",PROPER(TRIM(D106)))</f>
        <v>Thika</v>
      </c>
      <c r="F106" t="s">
        <v>81</v>
      </c>
      <c r="G106" t="str">
        <f>PROPER(TRIM(F106))</f>
        <v>Aisha Hassan</v>
      </c>
      <c r="H106" t="s">
        <v>33</v>
      </c>
      <c r="I106" t="s">
        <v>60</v>
      </c>
      <c r="J106" t="str">
        <f>PROPER(TRIM(I106))</f>
        <v>Padlock Set (3Pc)</v>
      </c>
      <c r="L106">
        <f>IF(K106="",0,K106)</f>
        <v>0</v>
      </c>
      <c r="M106">
        <v>650</v>
      </c>
      <c r="N106">
        <f>IF(M106="",0,M106)</f>
        <v>650</v>
      </c>
      <c r="O106" t="str">
        <f>IF(L106&lt;0,"NEGATIVE QUANTITY","")</f>
        <v/>
      </c>
      <c r="P106">
        <f t="shared" si="6"/>
        <v>0</v>
      </c>
      <c r="Q106">
        <f>VLOOKUP(H106,'Product Cost Lookup'!A:D,4,FALSE)</f>
        <v>450</v>
      </c>
      <c r="R106" t="str">
        <f>VLOOKUP(H106,'Product Cost Lookup'!A:D,3,FALSE)</f>
        <v>Hardware</v>
      </c>
      <c r="S106">
        <f t="shared" si="7"/>
        <v>0</v>
      </c>
      <c r="T106">
        <f t="shared" si="8"/>
        <v>0</v>
      </c>
      <c r="U106">
        <f t="shared" si="9"/>
        <v>0</v>
      </c>
      <c r="V106" s="3">
        <f t="shared" si="10"/>
        <v>0</v>
      </c>
      <c r="W106" t="str">
        <f t="shared" si="11"/>
        <v>Mar</v>
      </c>
    </row>
    <row r="107" spans="1:23">
      <c r="A107">
        <v>10277</v>
      </c>
      <c r="B107" s="1">
        <v>45329</v>
      </c>
      <c r="C107">
        <v>45329</v>
      </c>
      <c r="D107" t="s">
        <v>40</v>
      </c>
      <c r="E107" t="str">
        <f>IF(TRIM(D107)="","Unknown",PROPER(TRIM(D107)))</f>
        <v>Thika</v>
      </c>
      <c r="F107" t="s">
        <v>16</v>
      </c>
      <c r="G107" t="str">
        <f>PROPER(TRIM(F107))</f>
        <v>Grace Achieng</v>
      </c>
      <c r="H107" t="s">
        <v>93</v>
      </c>
      <c r="I107" t="s">
        <v>94</v>
      </c>
      <c r="J107" t="str">
        <f>PROPER(TRIM(I107))</f>
        <v>Non-Stick Frying Pan 28Cm</v>
      </c>
      <c r="K107">
        <v>2</v>
      </c>
      <c r="L107">
        <f>IF(K107="",0,K107)</f>
        <v>2</v>
      </c>
      <c r="M107">
        <v>1100</v>
      </c>
      <c r="N107">
        <f>IF(M107="",0,M107)</f>
        <v>1100</v>
      </c>
      <c r="O107" t="str">
        <f>IF(L107&lt;0,"NEGATIVE QUANTITY","")</f>
        <v/>
      </c>
      <c r="P107">
        <f t="shared" si="6"/>
        <v>2</v>
      </c>
      <c r="Q107">
        <f>VLOOKUP(H107,'Product Cost Lookup'!A:D,4,FALSE)</f>
        <v>700</v>
      </c>
      <c r="R107" t="str">
        <f>VLOOKUP(H107,'Product Cost Lookup'!A:D,3,FALSE)</f>
        <v>Kitchenware</v>
      </c>
      <c r="S107">
        <f t="shared" si="7"/>
        <v>2200</v>
      </c>
      <c r="T107">
        <f t="shared" si="8"/>
        <v>1400</v>
      </c>
      <c r="U107">
        <f t="shared" si="9"/>
        <v>800</v>
      </c>
      <c r="V107" s="3">
        <f t="shared" si="10"/>
        <v>0.36363636363636365</v>
      </c>
      <c r="W107" t="str">
        <f t="shared" si="11"/>
        <v>Feb</v>
      </c>
    </row>
    <row r="108" spans="1:23">
      <c r="A108">
        <v>10161</v>
      </c>
      <c r="B108" s="1">
        <v>45340</v>
      </c>
      <c r="C108">
        <v>45340</v>
      </c>
      <c r="D108" t="s">
        <v>45</v>
      </c>
      <c r="E108" t="str">
        <f>IF(TRIM(D108)="","Unknown",PROPER(TRIM(D108)))</f>
        <v>Thika</v>
      </c>
      <c r="F108" t="s">
        <v>104</v>
      </c>
      <c r="G108" t="str">
        <f>PROPER(TRIM(F108))</f>
        <v>Peter Otieno</v>
      </c>
      <c r="H108" t="s">
        <v>30</v>
      </c>
      <c r="I108" t="s">
        <v>31</v>
      </c>
      <c r="J108" t="str">
        <f>PROPER(TRIM(I108))</f>
        <v>Garden Hose 20M</v>
      </c>
      <c r="K108">
        <v>8</v>
      </c>
      <c r="L108">
        <f>IF(K108="",0,K108)</f>
        <v>8</v>
      </c>
      <c r="M108">
        <v>1700</v>
      </c>
      <c r="N108">
        <f>IF(M108="",0,M108)</f>
        <v>1700</v>
      </c>
      <c r="O108" t="str">
        <f>IF(L108&lt;0,"NEGATIVE QUANTITY","")</f>
        <v/>
      </c>
      <c r="P108">
        <f t="shared" si="6"/>
        <v>8</v>
      </c>
      <c r="Q108">
        <f>VLOOKUP(H108,'Product Cost Lookup'!A:D,4,FALSE)</f>
        <v>1100</v>
      </c>
      <c r="R108" t="str">
        <f>VLOOKUP(H108,'Product Cost Lookup'!A:D,3,FALSE)</f>
        <v>Hardware</v>
      </c>
      <c r="S108">
        <f t="shared" si="7"/>
        <v>13600</v>
      </c>
      <c r="T108">
        <f t="shared" si="8"/>
        <v>8800</v>
      </c>
      <c r="U108">
        <f t="shared" si="9"/>
        <v>4800</v>
      </c>
      <c r="V108" s="3">
        <f t="shared" si="10"/>
        <v>0.35294117647058826</v>
      </c>
      <c r="W108" t="str">
        <f t="shared" si="11"/>
        <v>Feb</v>
      </c>
    </row>
    <row r="109" spans="1:23">
      <c r="A109">
        <v>10262</v>
      </c>
      <c r="B109" s="1">
        <v>45377</v>
      </c>
      <c r="C109">
        <v>45377</v>
      </c>
      <c r="D109" t="s">
        <v>101</v>
      </c>
      <c r="E109" t="str">
        <f>IF(TRIM(D109)="","Unknown",PROPER(TRIM(D109)))</f>
        <v>Thika</v>
      </c>
      <c r="F109" t="s">
        <v>48</v>
      </c>
      <c r="G109" t="str">
        <f>PROPER(TRIM(F109))</f>
        <v>Brian Mutua</v>
      </c>
      <c r="H109" t="s">
        <v>33</v>
      </c>
      <c r="I109" t="s">
        <v>60</v>
      </c>
      <c r="J109" t="str">
        <f>PROPER(TRIM(I109))</f>
        <v>Padlock Set (3Pc)</v>
      </c>
      <c r="K109">
        <v>-12</v>
      </c>
      <c r="L109">
        <f>IF(K109="",0,K109)</f>
        <v>-12</v>
      </c>
      <c r="M109">
        <v>700</v>
      </c>
      <c r="N109">
        <f>IF(M109="",0,M109)</f>
        <v>700</v>
      </c>
      <c r="O109" t="str">
        <f>IF(L109&lt;0,"NEGATIVE QUANTITY","")</f>
        <v>NEGATIVE QUANTITY</v>
      </c>
      <c r="P109">
        <f>ABS(L109)</f>
        <v>12</v>
      </c>
      <c r="Q109">
        <f>VLOOKUP(H109,'Product Cost Lookup'!A:D,4,FALSE)</f>
        <v>450</v>
      </c>
      <c r="R109" t="str">
        <f>VLOOKUP(H109,'Product Cost Lookup'!A:D,3,FALSE)</f>
        <v>Hardware</v>
      </c>
      <c r="S109">
        <f t="shared" si="7"/>
        <v>8400</v>
      </c>
      <c r="T109">
        <f t="shared" si="8"/>
        <v>5400</v>
      </c>
      <c r="U109">
        <f t="shared" si="9"/>
        <v>3000</v>
      </c>
      <c r="V109" s="3">
        <f t="shared" si="10"/>
        <v>0.35714285714285715</v>
      </c>
      <c r="W109" t="str">
        <f t="shared" si="11"/>
        <v>Mar</v>
      </c>
    </row>
    <row r="110" spans="1:23">
      <c r="A110">
        <v>10082</v>
      </c>
      <c r="B110" s="1">
        <v>45307</v>
      </c>
      <c r="C110">
        <v>45307</v>
      </c>
      <c r="D110" t="s">
        <v>41</v>
      </c>
      <c r="E110" t="str">
        <f>IF(TRIM(D110)="","Unknown",PROPER(TRIM(D110)))</f>
        <v>Nakuru</v>
      </c>
      <c r="F110" t="s">
        <v>24</v>
      </c>
      <c r="G110" t="str">
        <f>PROPER(TRIM(F110))</f>
        <v>Mercy Njeri</v>
      </c>
      <c r="H110" t="s">
        <v>55</v>
      </c>
      <c r="I110" t="s">
        <v>56</v>
      </c>
      <c r="J110" t="str">
        <f>PROPER(TRIM(I110))</f>
        <v>Led Bulb 9W (Pack Of 4)</v>
      </c>
      <c r="K110">
        <v>20</v>
      </c>
      <c r="L110">
        <f>IF(K110="",0,K110)</f>
        <v>20</v>
      </c>
      <c r="M110">
        <v>830</v>
      </c>
      <c r="N110">
        <f>IF(M110="",0,M110)</f>
        <v>830</v>
      </c>
      <c r="O110" t="str">
        <f>IF(L110&lt;0,"NEGATIVE QUANTITY","")</f>
        <v/>
      </c>
      <c r="P110">
        <f t="shared" si="6"/>
        <v>20</v>
      </c>
      <c r="Q110">
        <f>VLOOKUP(H110,'Product Cost Lookup'!A:D,4,FALSE)</f>
        <v>480</v>
      </c>
      <c r="R110" t="str">
        <f>VLOOKUP(H110,'Product Cost Lookup'!A:D,3,FALSE)</f>
        <v>Electronics</v>
      </c>
      <c r="S110">
        <f t="shared" si="7"/>
        <v>16600</v>
      </c>
      <c r="T110">
        <f t="shared" si="8"/>
        <v>9600</v>
      </c>
      <c r="U110">
        <f t="shared" si="9"/>
        <v>7000</v>
      </c>
      <c r="V110" s="3">
        <f t="shared" si="10"/>
        <v>0.42168674698795183</v>
      </c>
      <c r="W110" t="str">
        <f t="shared" si="11"/>
        <v>Jan</v>
      </c>
    </row>
    <row r="111" spans="1:23">
      <c r="A111">
        <v>10206</v>
      </c>
      <c r="B111" s="1">
        <v>45294</v>
      </c>
      <c r="C111">
        <v>45294</v>
      </c>
      <c r="D111" t="s">
        <v>74</v>
      </c>
      <c r="E111" t="str">
        <f>IF(TRIM(D111)="","Unknown",PROPER(TRIM(D111)))</f>
        <v>Nairobi</v>
      </c>
      <c r="F111" t="s">
        <v>14</v>
      </c>
      <c r="G111" t="str">
        <f>PROPER(TRIM(F111))</f>
        <v>Faith Wanjiru</v>
      </c>
      <c r="H111" t="s">
        <v>21</v>
      </c>
      <c r="I111" t="s">
        <v>22</v>
      </c>
      <c r="J111" t="str">
        <f>PROPER(TRIM(I111))</f>
        <v>Water Dispenser Stand</v>
      </c>
      <c r="K111">
        <v>20</v>
      </c>
      <c r="L111">
        <f>IF(K111="",0,K111)</f>
        <v>20</v>
      </c>
      <c r="M111">
        <v>2350</v>
      </c>
      <c r="N111">
        <f>IF(M111="",0,M111)</f>
        <v>2350</v>
      </c>
      <c r="O111" t="str">
        <f>IF(L111&lt;0,"NEGATIVE QUANTITY","")</f>
        <v/>
      </c>
      <c r="P111">
        <f t="shared" si="6"/>
        <v>20</v>
      </c>
      <c r="Q111">
        <f>VLOOKUP(H111,'Product Cost Lookup'!A:D,4,FALSE)</f>
        <v>1500</v>
      </c>
      <c r="R111" t="str">
        <f>VLOOKUP(H111,'Product Cost Lookup'!A:D,3,FALSE)</f>
        <v>Household</v>
      </c>
      <c r="S111">
        <f t="shared" si="7"/>
        <v>47000</v>
      </c>
      <c r="T111">
        <f t="shared" si="8"/>
        <v>30000</v>
      </c>
      <c r="U111">
        <f t="shared" si="9"/>
        <v>17000</v>
      </c>
      <c r="V111" s="3">
        <f t="shared" si="10"/>
        <v>0.36170212765957449</v>
      </c>
      <c r="W111" t="str">
        <f t="shared" si="11"/>
        <v>Jan</v>
      </c>
    </row>
    <row r="112" spans="1:23">
      <c r="A112">
        <v>10091</v>
      </c>
      <c r="B112" s="2">
        <v>45310</v>
      </c>
      <c r="C112">
        <v>45310</v>
      </c>
      <c r="D112" t="s">
        <v>35</v>
      </c>
      <c r="E112" t="str">
        <f>IF(TRIM(D112)="","Unknown",PROPER(TRIM(D112)))</f>
        <v>Kisumu</v>
      </c>
      <c r="F112" t="s">
        <v>14</v>
      </c>
      <c r="G112" t="str">
        <f>PROPER(TRIM(F112))</f>
        <v>Faith Wanjiru</v>
      </c>
      <c r="H112" t="s">
        <v>53</v>
      </c>
      <c r="I112" t="s">
        <v>72</v>
      </c>
      <c r="J112" t="str">
        <f>PROPER(TRIM(I112))</f>
        <v>Rechargeable Torch Rt-10</v>
      </c>
      <c r="K112">
        <v>15</v>
      </c>
      <c r="L112">
        <f>IF(K112="",0,K112)</f>
        <v>15</v>
      </c>
      <c r="M112">
        <v>950</v>
      </c>
      <c r="N112">
        <f>IF(M112="",0,M112)</f>
        <v>950</v>
      </c>
      <c r="O112" t="str">
        <f>IF(L112&lt;0,"NEGATIVE QUANTITY","")</f>
        <v/>
      </c>
      <c r="P112">
        <f t="shared" si="6"/>
        <v>15</v>
      </c>
      <c r="Q112">
        <f>VLOOKUP(H112,'Product Cost Lookup'!A:D,4,FALSE)</f>
        <v>600</v>
      </c>
      <c r="R112" t="str">
        <f>VLOOKUP(H112,'Product Cost Lookup'!A:D,3,FALSE)</f>
        <v>Electronics</v>
      </c>
      <c r="S112">
        <f t="shared" si="7"/>
        <v>14250</v>
      </c>
      <c r="T112">
        <f t="shared" si="8"/>
        <v>9000</v>
      </c>
      <c r="U112">
        <f t="shared" si="9"/>
        <v>5250</v>
      </c>
      <c r="V112" s="3">
        <f t="shared" si="10"/>
        <v>0.36842105263157893</v>
      </c>
      <c r="W112" t="str">
        <f t="shared" si="11"/>
        <v>Jan</v>
      </c>
    </row>
    <row r="113" spans="1:23">
      <c r="A113">
        <v>10015</v>
      </c>
      <c r="B113" s="1">
        <v>45293</v>
      </c>
      <c r="C113">
        <v>45293</v>
      </c>
      <c r="D113" t="s">
        <v>15</v>
      </c>
      <c r="E113" t="str">
        <f>IF(TRIM(D113)="","Unknown",PROPER(TRIM(D113)))</f>
        <v>Mombasa</v>
      </c>
      <c r="F113" t="s">
        <v>14</v>
      </c>
      <c r="G113" t="str">
        <f>PROPER(TRIM(F113))</f>
        <v>Faith Wanjiru</v>
      </c>
      <c r="H113" t="s">
        <v>111</v>
      </c>
      <c r="I113" t="s">
        <v>129</v>
      </c>
      <c r="J113" t="str">
        <f>PROPER(TRIM(I113))</f>
        <v>Thermos Flask 1L</v>
      </c>
      <c r="K113">
        <v>10</v>
      </c>
      <c r="L113">
        <f>IF(K113="",0,K113)</f>
        <v>10</v>
      </c>
      <c r="M113">
        <v>900</v>
      </c>
      <c r="N113">
        <f>IF(M113="",0,M113)</f>
        <v>900</v>
      </c>
      <c r="O113" t="str">
        <f>IF(L113&lt;0,"NEGATIVE QUANTITY","")</f>
        <v/>
      </c>
      <c r="P113">
        <f t="shared" si="6"/>
        <v>10</v>
      </c>
      <c r="Q113">
        <f>VLOOKUP(H113,'Product Cost Lookup'!A:D,4,FALSE)</f>
        <v>550</v>
      </c>
      <c r="R113" t="str">
        <f>VLOOKUP(H113,'Product Cost Lookup'!A:D,3,FALSE)</f>
        <v>Kitchenware</v>
      </c>
      <c r="S113">
        <f t="shared" si="7"/>
        <v>9000</v>
      </c>
      <c r="T113">
        <f t="shared" si="8"/>
        <v>5500</v>
      </c>
      <c r="U113">
        <f t="shared" si="9"/>
        <v>3500</v>
      </c>
      <c r="V113" s="3">
        <f t="shared" si="10"/>
        <v>0.3888888888888889</v>
      </c>
      <c r="W113" t="str">
        <f t="shared" si="11"/>
        <v>Jan</v>
      </c>
    </row>
    <row r="114" spans="1:23">
      <c r="A114">
        <v>10315</v>
      </c>
      <c r="B114" s="1">
        <v>45321</v>
      </c>
      <c r="C114">
        <v>45321</v>
      </c>
      <c r="D114" t="s">
        <v>74</v>
      </c>
      <c r="E114" t="str">
        <f>IF(TRIM(D114)="","Unknown",PROPER(TRIM(D114)))</f>
        <v>Nairobi</v>
      </c>
      <c r="F114" t="s">
        <v>80</v>
      </c>
      <c r="G114" t="str">
        <f>PROPER(TRIM(F114))</f>
        <v>Aisha Hassan</v>
      </c>
      <c r="H114" t="s">
        <v>93</v>
      </c>
      <c r="I114" t="s">
        <v>94</v>
      </c>
      <c r="J114" t="str">
        <f>PROPER(TRIM(I114))</f>
        <v>Non-Stick Frying Pan 28Cm</v>
      </c>
      <c r="K114">
        <v>-6</v>
      </c>
      <c r="L114">
        <f>IF(K114="",0,K114)</f>
        <v>-6</v>
      </c>
      <c r="M114">
        <v>1150</v>
      </c>
      <c r="N114">
        <f>IF(M114="",0,M114)</f>
        <v>1150</v>
      </c>
      <c r="O114" t="str">
        <f>IF(L114&lt;0,"NEGATIVE QUANTITY","")</f>
        <v>NEGATIVE QUANTITY</v>
      </c>
      <c r="P114">
        <f t="shared" si="6"/>
        <v>6</v>
      </c>
      <c r="Q114">
        <f>VLOOKUP(H114,'Product Cost Lookup'!A:D,4,FALSE)</f>
        <v>700</v>
      </c>
      <c r="R114" t="str">
        <f>VLOOKUP(H114,'Product Cost Lookup'!A:D,3,FALSE)</f>
        <v>Kitchenware</v>
      </c>
      <c r="S114">
        <f t="shared" si="7"/>
        <v>6900</v>
      </c>
      <c r="T114">
        <f t="shared" si="8"/>
        <v>4200</v>
      </c>
      <c r="U114">
        <f t="shared" si="9"/>
        <v>2700</v>
      </c>
      <c r="V114" s="3">
        <f t="shared" si="10"/>
        <v>0.39130434782608697</v>
      </c>
      <c r="W114" t="str">
        <f t="shared" si="11"/>
        <v>Jan</v>
      </c>
    </row>
    <row r="115" spans="1:23">
      <c r="A115">
        <v>10260</v>
      </c>
      <c r="B115" t="s">
        <v>130</v>
      </c>
      <c r="C115">
        <v>45335</v>
      </c>
      <c r="D115" t="s">
        <v>35</v>
      </c>
      <c r="E115" t="str">
        <f>IF(TRIM(D115)="","Unknown",PROPER(TRIM(D115)))</f>
        <v>Kisumu</v>
      </c>
      <c r="F115" t="s">
        <v>115</v>
      </c>
      <c r="G115" t="str">
        <f>PROPER(TRIM(F115))</f>
        <v>Aisha Hassan</v>
      </c>
      <c r="H115" t="s">
        <v>10</v>
      </c>
      <c r="I115" t="s">
        <v>11</v>
      </c>
      <c r="J115" t="str">
        <f>PROPER(TRIM(I115))</f>
        <v>Kitchen Knife Set</v>
      </c>
      <c r="K115">
        <v>3</v>
      </c>
      <c r="L115">
        <f>IF(K115="",0,K115)</f>
        <v>3</v>
      </c>
      <c r="M115">
        <v>1300</v>
      </c>
      <c r="N115">
        <f>IF(M115="",0,M115)</f>
        <v>1300</v>
      </c>
      <c r="O115" t="str">
        <f>IF(L115&lt;0,"NEGATIVE QUANTITY","")</f>
        <v/>
      </c>
      <c r="P115">
        <f t="shared" si="6"/>
        <v>3</v>
      </c>
      <c r="Q115">
        <f>VLOOKUP(H115,'Product Cost Lookup'!A:D,4,FALSE)</f>
        <v>800</v>
      </c>
      <c r="R115" t="str">
        <f>VLOOKUP(H115,'Product Cost Lookup'!A:D,3,FALSE)</f>
        <v>Kitchenware</v>
      </c>
      <c r="S115">
        <f t="shared" si="7"/>
        <v>3900</v>
      </c>
      <c r="T115">
        <f t="shared" si="8"/>
        <v>2400</v>
      </c>
      <c r="U115">
        <f t="shared" si="9"/>
        <v>1500</v>
      </c>
      <c r="V115" s="3">
        <f t="shared" si="10"/>
        <v>0.38461538461538464</v>
      </c>
      <c r="W115" t="str">
        <f t="shared" si="11"/>
        <v>Feb</v>
      </c>
    </row>
    <row r="116" spans="1:23">
      <c r="A116">
        <v>10094</v>
      </c>
      <c r="B116" s="1">
        <v>45333</v>
      </c>
      <c r="C116">
        <v>45333</v>
      </c>
      <c r="D116" t="s">
        <v>19</v>
      </c>
      <c r="E116" t="str">
        <f>IF(TRIM(D116)="","Unknown",PROPER(TRIM(D116)))</f>
        <v>Eldoret</v>
      </c>
      <c r="F116" t="s">
        <v>81</v>
      </c>
      <c r="G116" t="str">
        <f>PROPER(TRIM(F116))</f>
        <v>Aisha Hassan</v>
      </c>
      <c r="H116" t="s">
        <v>111</v>
      </c>
      <c r="I116" t="s">
        <v>112</v>
      </c>
      <c r="J116" t="str">
        <f>PROPER(TRIM(I116))</f>
        <v>Thermos Flask 1L</v>
      </c>
      <c r="K116">
        <v>3</v>
      </c>
      <c r="L116">
        <f>IF(K116="",0,K116)</f>
        <v>3</v>
      </c>
      <c r="M116">
        <v>850</v>
      </c>
      <c r="N116">
        <f>IF(M116="",0,M116)</f>
        <v>850</v>
      </c>
      <c r="O116" t="str">
        <f>IF(L116&lt;0,"NEGATIVE QUANTITY","")</f>
        <v/>
      </c>
      <c r="P116">
        <f t="shared" si="6"/>
        <v>3</v>
      </c>
      <c r="Q116">
        <f>VLOOKUP(H116,'Product Cost Lookup'!A:D,4,FALSE)</f>
        <v>550</v>
      </c>
      <c r="R116" t="str">
        <f>VLOOKUP(H116,'Product Cost Lookup'!A:D,3,FALSE)</f>
        <v>Kitchenware</v>
      </c>
      <c r="S116">
        <f t="shared" si="7"/>
        <v>2550</v>
      </c>
      <c r="T116">
        <f t="shared" si="8"/>
        <v>1650</v>
      </c>
      <c r="U116">
        <f t="shared" si="9"/>
        <v>900</v>
      </c>
      <c r="V116" s="3">
        <f t="shared" si="10"/>
        <v>0.35294117647058826</v>
      </c>
      <c r="W116" t="str">
        <f t="shared" si="11"/>
        <v>Feb</v>
      </c>
    </row>
    <row r="117" spans="1:23">
      <c r="A117">
        <v>10282</v>
      </c>
      <c r="B117" s="1">
        <v>45370</v>
      </c>
      <c r="C117">
        <v>45370</v>
      </c>
      <c r="D117" t="s">
        <v>40</v>
      </c>
      <c r="E117" t="str">
        <f>IF(TRIM(D117)="","Unknown",PROPER(TRIM(D117)))</f>
        <v>Thika</v>
      </c>
      <c r="F117" t="s">
        <v>9</v>
      </c>
      <c r="G117" t="str">
        <f>PROPER(TRIM(F117))</f>
        <v>Peter Otieno</v>
      </c>
      <c r="H117" t="s">
        <v>10</v>
      </c>
      <c r="I117" t="s">
        <v>11</v>
      </c>
      <c r="J117" t="str">
        <f>PROPER(TRIM(I117))</f>
        <v>Kitchen Knife Set</v>
      </c>
      <c r="K117">
        <v>12</v>
      </c>
      <c r="L117">
        <f>IF(K117="",0,K117)</f>
        <v>12</v>
      </c>
      <c r="M117">
        <v>1300</v>
      </c>
      <c r="N117">
        <f>IF(M117="",0,M117)</f>
        <v>1300</v>
      </c>
      <c r="O117" t="str">
        <f>IF(L117&lt;0,"NEGATIVE QUANTITY","")</f>
        <v/>
      </c>
      <c r="P117">
        <f t="shared" si="6"/>
        <v>12</v>
      </c>
      <c r="Q117">
        <f>VLOOKUP(H117,'Product Cost Lookup'!A:D,4,FALSE)</f>
        <v>800</v>
      </c>
      <c r="R117" t="str">
        <f>VLOOKUP(H117,'Product Cost Lookup'!A:D,3,FALSE)</f>
        <v>Kitchenware</v>
      </c>
      <c r="S117">
        <f t="shared" si="7"/>
        <v>15600</v>
      </c>
      <c r="T117">
        <f t="shared" si="8"/>
        <v>9600</v>
      </c>
      <c r="U117">
        <f t="shared" si="9"/>
        <v>6000</v>
      </c>
      <c r="V117" s="3">
        <f t="shared" si="10"/>
        <v>0.38461538461538464</v>
      </c>
      <c r="W117" t="str">
        <f t="shared" si="11"/>
        <v>Mar</v>
      </c>
    </row>
    <row r="118" spans="1:23">
      <c r="A118">
        <v>10225</v>
      </c>
      <c r="B118" t="s">
        <v>131</v>
      </c>
      <c r="C118">
        <v>45368</v>
      </c>
      <c r="D118" t="s">
        <v>95</v>
      </c>
      <c r="E118" t="str">
        <f>IF(TRIM(D118)="","Unknown",PROPER(TRIM(D118)))</f>
        <v>Kisumu</v>
      </c>
      <c r="F118" t="s">
        <v>88</v>
      </c>
      <c r="G118" t="str">
        <f>PROPER(TRIM(F118))</f>
        <v>Mercy Njeri</v>
      </c>
      <c r="H118" t="s">
        <v>21</v>
      </c>
      <c r="I118" t="s">
        <v>22</v>
      </c>
      <c r="J118" t="str">
        <f>PROPER(TRIM(I118))</f>
        <v>Water Dispenser Stand</v>
      </c>
      <c r="K118">
        <v>2</v>
      </c>
      <c r="L118">
        <f>IF(K118="",0,K118)</f>
        <v>2</v>
      </c>
      <c r="M118">
        <v>2250</v>
      </c>
      <c r="N118">
        <f>IF(M118="",0,M118)</f>
        <v>2250</v>
      </c>
      <c r="O118" t="str">
        <f>IF(L118&lt;0,"NEGATIVE QUANTITY","")</f>
        <v/>
      </c>
      <c r="P118">
        <f t="shared" si="6"/>
        <v>2</v>
      </c>
      <c r="Q118">
        <f>VLOOKUP(H118,'Product Cost Lookup'!A:D,4,FALSE)</f>
        <v>1500</v>
      </c>
      <c r="R118" t="str">
        <f>VLOOKUP(H118,'Product Cost Lookup'!A:D,3,FALSE)</f>
        <v>Household</v>
      </c>
      <c r="S118">
        <f t="shared" si="7"/>
        <v>4500</v>
      </c>
      <c r="T118">
        <f t="shared" si="8"/>
        <v>3000</v>
      </c>
      <c r="U118">
        <f t="shared" si="9"/>
        <v>1500</v>
      </c>
      <c r="V118" s="3">
        <f t="shared" si="10"/>
        <v>0.33333333333333331</v>
      </c>
      <c r="W118" t="str">
        <f t="shared" si="11"/>
        <v>Mar</v>
      </c>
    </row>
    <row r="119" spans="1:23">
      <c r="A119">
        <v>10292</v>
      </c>
      <c r="B119" t="s">
        <v>132</v>
      </c>
      <c r="C119">
        <v>45316</v>
      </c>
      <c r="D119" t="s">
        <v>74</v>
      </c>
      <c r="E119" t="str">
        <f>IF(TRIM(D119)="","Unknown",PROPER(TRIM(D119)))</f>
        <v>Nairobi</v>
      </c>
      <c r="F119" t="s">
        <v>133</v>
      </c>
      <c r="G119" t="str">
        <f>PROPER(TRIM(F119))</f>
        <v>John Mwangi</v>
      </c>
      <c r="H119" t="s">
        <v>90</v>
      </c>
      <c r="I119" t="s">
        <v>91</v>
      </c>
      <c r="J119" t="str">
        <f>PROPER(TRIM(I119))</f>
        <v>Wheelbarrow Heavy Duty</v>
      </c>
      <c r="K119">
        <v>12</v>
      </c>
      <c r="L119">
        <f>IF(K119="",0,K119)</f>
        <v>12</v>
      </c>
      <c r="M119">
        <v>5150</v>
      </c>
      <c r="N119">
        <f>IF(M119="",0,M119)</f>
        <v>5150</v>
      </c>
      <c r="O119" t="str">
        <f>IF(L119&lt;0,"NEGATIVE QUANTITY","")</f>
        <v/>
      </c>
      <c r="P119">
        <f t="shared" si="6"/>
        <v>12</v>
      </c>
      <c r="Q119">
        <f>VLOOKUP(H119,'Product Cost Lookup'!A:D,4,FALSE)</f>
        <v>3500</v>
      </c>
      <c r="R119" t="str">
        <f>VLOOKUP(H119,'Product Cost Lookup'!A:D,3,FALSE)</f>
        <v>Hardware</v>
      </c>
      <c r="S119">
        <f t="shared" si="7"/>
        <v>61800</v>
      </c>
      <c r="T119">
        <f t="shared" si="8"/>
        <v>42000</v>
      </c>
      <c r="U119">
        <f t="shared" si="9"/>
        <v>19800</v>
      </c>
      <c r="V119" s="3">
        <f t="shared" si="10"/>
        <v>0.32038834951456313</v>
      </c>
      <c r="W119" t="str">
        <f t="shared" si="11"/>
        <v>Jan</v>
      </c>
    </row>
    <row r="120" spans="1:23">
      <c r="A120">
        <v>10226</v>
      </c>
      <c r="B120" t="s">
        <v>117</v>
      </c>
      <c r="C120">
        <v>45311</v>
      </c>
      <c r="D120" t="s">
        <v>15</v>
      </c>
      <c r="E120" t="str">
        <f>IF(TRIM(D120)="","Unknown",PROPER(TRIM(D120)))</f>
        <v>Mombasa</v>
      </c>
      <c r="F120" t="s">
        <v>134</v>
      </c>
      <c r="G120" t="str">
        <f>PROPER(TRIM(F120))</f>
        <v>Grace Achieng</v>
      </c>
      <c r="H120" t="s">
        <v>21</v>
      </c>
      <c r="I120" t="s">
        <v>22</v>
      </c>
      <c r="J120" t="str">
        <f>PROPER(TRIM(I120))</f>
        <v>Water Dispenser Stand</v>
      </c>
      <c r="K120">
        <v>2</v>
      </c>
      <c r="L120">
        <f>IF(K120="",0,K120)</f>
        <v>2</v>
      </c>
      <c r="M120">
        <v>2400</v>
      </c>
      <c r="N120">
        <f>IF(M120="",0,M120)</f>
        <v>2400</v>
      </c>
      <c r="O120" t="str">
        <f>IF(L120&lt;0,"NEGATIVE QUANTITY","")</f>
        <v/>
      </c>
      <c r="P120">
        <f t="shared" si="6"/>
        <v>2</v>
      </c>
      <c r="Q120">
        <f>VLOOKUP(H120,'Product Cost Lookup'!A:D,4,FALSE)</f>
        <v>1500</v>
      </c>
      <c r="R120" t="str">
        <f>VLOOKUP(H120,'Product Cost Lookup'!A:D,3,FALSE)</f>
        <v>Household</v>
      </c>
      <c r="S120">
        <f t="shared" si="7"/>
        <v>4800</v>
      </c>
      <c r="T120">
        <f t="shared" si="8"/>
        <v>3000</v>
      </c>
      <c r="U120">
        <f t="shared" si="9"/>
        <v>1800</v>
      </c>
      <c r="V120" s="3">
        <f t="shared" si="10"/>
        <v>0.375</v>
      </c>
      <c r="W120" t="str">
        <f t="shared" si="11"/>
        <v>Jan</v>
      </c>
    </row>
    <row r="121" spans="1:23">
      <c r="A121">
        <v>10128</v>
      </c>
      <c r="B121" t="s">
        <v>132</v>
      </c>
      <c r="C121">
        <v>45316</v>
      </c>
      <c r="D121" t="s">
        <v>74</v>
      </c>
      <c r="E121" t="str">
        <f>IF(TRIM(D121)="","Unknown",PROPER(TRIM(D121)))</f>
        <v>Nairobi</v>
      </c>
      <c r="F121" t="s">
        <v>81</v>
      </c>
      <c r="G121" t="str">
        <f>PROPER(TRIM(F121))</f>
        <v>Aisha Hassan</v>
      </c>
      <c r="H121" t="s">
        <v>25</v>
      </c>
      <c r="I121" t="s">
        <v>75</v>
      </c>
      <c r="J121" t="str">
        <f>PROPER(TRIM(I121))</f>
        <v>Plastic Storage Basket L</v>
      </c>
      <c r="K121">
        <v>8</v>
      </c>
      <c r="L121">
        <f>IF(K121="",0,K121)</f>
        <v>8</v>
      </c>
      <c r="M121">
        <v>420</v>
      </c>
      <c r="N121">
        <f>IF(M121="",0,M121)</f>
        <v>420</v>
      </c>
      <c r="O121" t="str">
        <f>IF(L121&lt;0,"NEGATIVE QUANTITY","")</f>
        <v/>
      </c>
      <c r="P121">
        <f t="shared" si="6"/>
        <v>8</v>
      </c>
      <c r="Q121">
        <f>VLOOKUP(H121,'Product Cost Lookup'!A:D,4,FALSE)</f>
        <v>250</v>
      </c>
      <c r="R121" t="str">
        <f>VLOOKUP(H121,'Product Cost Lookup'!A:D,3,FALSE)</f>
        <v>Household</v>
      </c>
      <c r="S121">
        <f t="shared" si="7"/>
        <v>3360</v>
      </c>
      <c r="T121">
        <f t="shared" si="8"/>
        <v>2000</v>
      </c>
      <c r="U121">
        <f t="shared" si="9"/>
        <v>1360</v>
      </c>
      <c r="V121" s="3">
        <f t="shared" si="10"/>
        <v>0.40476190476190477</v>
      </c>
      <c r="W121" t="str">
        <f t="shared" si="11"/>
        <v>Jan</v>
      </c>
    </row>
    <row r="122" spans="1:23">
      <c r="A122">
        <v>10187</v>
      </c>
      <c r="B122" s="1">
        <v>45301</v>
      </c>
      <c r="C122">
        <v>45301</v>
      </c>
      <c r="D122" t="s">
        <v>15</v>
      </c>
      <c r="E122" t="str">
        <f>IF(TRIM(D122)="","Unknown",PROPER(TRIM(D122)))</f>
        <v>Mombasa</v>
      </c>
      <c r="F122" t="s">
        <v>135</v>
      </c>
      <c r="G122" t="str">
        <f>PROPER(TRIM(F122))</f>
        <v>Brian Mutua</v>
      </c>
      <c r="H122" t="s">
        <v>50</v>
      </c>
      <c r="I122" t="s">
        <v>69</v>
      </c>
      <c r="J122" t="str">
        <f>PROPER(TRIM(I122))</f>
        <v>Solar Lantern Sl-200</v>
      </c>
      <c r="K122">
        <v>2</v>
      </c>
      <c r="L122">
        <f>IF(K122="",0,K122)</f>
        <v>2</v>
      </c>
      <c r="M122">
        <v>1400</v>
      </c>
      <c r="N122">
        <f>IF(M122="",0,M122)</f>
        <v>1400</v>
      </c>
      <c r="O122" t="str">
        <f>IF(L122&lt;0,"NEGATIVE QUANTITY","")</f>
        <v/>
      </c>
      <c r="P122">
        <f t="shared" si="6"/>
        <v>2</v>
      </c>
      <c r="Q122">
        <f>VLOOKUP(H122,'Product Cost Lookup'!A:D,4,FALSE)</f>
        <v>900</v>
      </c>
      <c r="R122" t="str">
        <f>VLOOKUP(H122,'Product Cost Lookup'!A:D,3,FALSE)</f>
        <v>Electronics</v>
      </c>
      <c r="S122">
        <f t="shared" si="7"/>
        <v>2800</v>
      </c>
      <c r="T122">
        <f t="shared" si="8"/>
        <v>1800</v>
      </c>
      <c r="U122">
        <f t="shared" si="9"/>
        <v>1000</v>
      </c>
      <c r="V122" s="3">
        <f t="shared" si="10"/>
        <v>0.35714285714285715</v>
      </c>
      <c r="W122" t="str">
        <f t="shared" si="11"/>
        <v>Jan</v>
      </c>
    </row>
    <row r="123" spans="1:23">
      <c r="A123">
        <v>10089</v>
      </c>
      <c r="B123" s="1">
        <v>45343</v>
      </c>
      <c r="C123">
        <v>45343</v>
      </c>
      <c r="D123" t="s">
        <v>74</v>
      </c>
      <c r="E123" t="str">
        <f>IF(TRIM(D123)="","Unknown",PROPER(TRIM(D123)))</f>
        <v>Nairobi</v>
      </c>
      <c r="F123" t="s">
        <v>24</v>
      </c>
      <c r="G123" t="str">
        <f>PROPER(TRIM(F123))</f>
        <v>Mercy Njeri</v>
      </c>
      <c r="H123" t="s">
        <v>53</v>
      </c>
      <c r="I123" t="s">
        <v>72</v>
      </c>
      <c r="J123" t="str">
        <f>PROPER(TRIM(I123))</f>
        <v>Rechargeable Torch Rt-10</v>
      </c>
      <c r="K123">
        <v>15</v>
      </c>
      <c r="L123">
        <f>IF(K123="",0,K123)</f>
        <v>15</v>
      </c>
      <c r="M123">
        <v>1000</v>
      </c>
      <c r="N123">
        <f>IF(M123="",0,M123)</f>
        <v>1000</v>
      </c>
      <c r="O123" t="str">
        <f>IF(L123&lt;0,"NEGATIVE QUANTITY","")</f>
        <v/>
      </c>
      <c r="P123">
        <f t="shared" si="6"/>
        <v>15</v>
      </c>
      <c r="Q123">
        <f>VLOOKUP(H123,'Product Cost Lookup'!A:D,4,FALSE)</f>
        <v>600</v>
      </c>
      <c r="R123" t="str">
        <f>VLOOKUP(H123,'Product Cost Lookup'!A:D,3,FALSE)</f>
        <v>Electronics</v>
      </c>
      <c r="S123">
        <f t="shared" si="7"/>
        <v>15000</v>
      </c>
      <c r="T123">
        <f t="shared" si="8"/>
        <v>9000</v>
      </c>
      <c r="U123">
        <f t="shared" si="9"/>
        <v>6000</v>
      </c>
      <c r="V123" s="3">
        <f t="shared" si="10"/>
        <v>0.4</v>
      </c>
      <c r="W123" t="str">
        <f t="shared" si="11"/>
        <v>Feb</v>
      </c>
    </row>
    <row r="124" spans="1:23">
      <c r="A124">
        <v>10208</v>
      </c>
      <c r="B124" s="2">
        <v>45362</v>
      </c>
      <c r="C124">
        <v>45362</v>
      </c>
      <c r="D124" t="s">
        <v>41</v>
      </c>
      <c r="E124" t="str">
        <f>IF(TRIM(D124)="","Unknown",PROPER(TRIM(D124)))</f>
        <v>Nakuru</v>
      </c>
      <c r="F124" t="s">
        <v>62</v>
      </c>
      <c r="G124" t="str">
        <f>PROPER(TRIM(F124))</f>
        <v>John Mwangi</v>
      </c>
      <c r="H124" t="s">
        <v>50</v>
      </c>
      <c r="I124" t="s">
        <v>89</v>
      </c>
      <c r="J124" t="str">
        <f>PROPER(TRIM(I124))</f>
        <v>Solar Lantern Sl-200</v>
      </c>
      <c r="K124">
        <v>5</v>
      </c>
      <c r="L124">
        <f>IF(K124="",0,K124)</f>
        <v>5</v>
      </c>
      <c r="M124">
        <v>1500</v>
      </c>
      <c r="N124">
        <f>IF(M124="",0,M124)</f>
        <v>1500</v>
      </c>
      <c r="O124" t="str">
        <f>IF(L124&lt;0,"NEGATIVE QUANTITY","")</f>
        <v/>
      </c>
      <c r="P124">
        <f t="shared" si="6"/>
        <v>5</v>
      </c>
      <c r="Q124">
        <f>VLOOKUP(H124,'Product Cost Lookup'!A:D,4,FALSE)</f>
        <v>900</v>
      </c>
      <c r="R124" t="str">
        <f>VLOOKUP(H124,'Product Cost Lookup'!A:D,3,FALSE)</f>
        <v>Electronics</v>
      </c>
      <c r="S124">
        <f t="shared" si="7"/>
        <v>7500</v>
      </c>
      <c r="T124">
        <f t="shared" si="8"/>
        <v>4500</v>
      </c>
      <c r="U124">
        <f t="shared" si="9"/>
        <v>3000</v>
      </c>
      <c r="V124" s="3">
        <f t="shared" si="10"/>
        <v>0.4</v>
      </c>
      <c r="W124" t="str">
        <f t="shared" si="11"/>
        <v>Mar</v>
      </c>
    </row>
    <row r="125" spans="1:23">
      <c r="A125">
        <v>10033</v>
      </c>
      <c r="B125" s="1">
        <v>45298</v>
      </c>
      <c r="C125">
        <v>45298</v>
      </c>
      <c r="D125" t="s">
        <v>19</v>
      </c>
      <c r="E125" t="str">
        <f>IF(TRIM(D125)="","Unknown",PROPER(TRIM(D125)))</f>
        <v>Eldoret</v>
      </c>
      <c r="F125" t="s">
        <v>14</v>
      </c>
      <c r="G125" t="str">
        <f>PROPER(TRIM(F125))</f>
        <v>Faith Wanjiru</v>
      </c>
      <c r="H125" t="s">
        <v>21</v>
      </c>
      <c r="I125" t="s">
        <v>22</v>
      </c>
      <c r="J125" t="str">
        <f>PROPER(TRIM(I125))</f>
        <v>Water Dispenser Stand</v>
      </c>
      <c r="K125">
        <v>2</v>
      </c>
      <c r="L125">
        <f>IF(K125="",0,K125)</f>
        <v>2</v>
      </c>
      <c r="M125">
        <v>2350</v>
      </c>
      <c r="N125">
        <f>IF(M125="",0,M125)</f>
        <v>2350</v>
      </c>
      <c r="O125" t="str">
        <f>IF(L125&lt;0,"NEGATIVE QUANTITY","")</f>
        <v/>
      </c>
      <c r="P125">
        <f t="shared" si="6"/>
        <v>2</v>
      </c>
      <c r="Q125">
        <f>VLOOKUP(H125,'Product Cost Lookup'!A:D,4,FALSE)</f>
        <v>1500</v>
      </c>
      <c r="R125" t="str">
        <f>VLOOKUP(H125,'Product Cost Lookup'!A:D,3,FALSE)</f>
        <v>Household</v>
      </c>
      <c r="S125">
        <f t="shared" si="7"/>
        <v>4700</v>
      </c>
      <c r="T125">
        <f t="shared" si="8"/>
        <v>3000</v>
      </c>
      <c r="U125">
        <f t="shared" si="9"/>
        <v>1700</v>
      </c>
      <c r="V125" s="3">
        <f t="shared" si="10"/>
        <v>0.36170212765957449</v>
      </c>
      <c r="W125" t="str">
        <f t="shared" si="11"/>
        <v>Jan</v>
      </c>
    </row>
    <row r="126" spans="1:23">
      <c r="A126">
        <v>10130</v>
      </c>
      <c r="B126" s="1">
        <v>45363</v>
      </c>
      <c r="C126">
        <v>45363</v>
      </c>
      <c r="D126" t="s">
        <v>35</v>
      </c>
      <c r="E126" t="str">
        <f>IF(TRIM(D126)="","Unknown",PROPER(TRIM(D126)))</f>
        <v>Kisumu</v>
      </c>
      <c r="F126" t="s">
        <v>14</v>
      </c>
      <c r="G126" t="str">
        <f>PROPER(TRIM(F126))</f>
        <v>Faith Wanjiru</v>
      </c>
      <c r="H126" t="s">
        <v>93</v>
      </c>
      <c r="I126" t="s">
        <v>94</v>
      </c>
      <c r="J126" t="str">
        <f>PROPER(TRIM(I126))</f>
        <v>Non-Stick Frying Pan 28Cm</v>
      </c>
      <c r="K126">
        <v>5</v>
      </c>
      <c r="L126">
        <f>IF(K126="",0,K126)</f>
        <v>5</v>
      </c>
      <c r="M126">
        <v>1100</v>
      </c>
      <c r="N126">
        <f>IF(M126="",0,M126)</f>
        <v>1100</v>
      </c>
      <c r="O126" t="str">
        <f>IF(L126&lt;0,"NEGATIVE QUANTITY","")</f>
        <v/>
      </c>
      <c r="P126">
        <f t="shared" si="6"/>
        <v>5</v>
      </c>
      <c r="Q126">
        <f>VLOOKUP(H126,'Product Cost Lookup'!A:D,4,FALSE)</f>
        <v>700</v>
      </c>
      <c r="R126" t="str">
        <f>VLOOKUP(H126,'Product Cost Lookup'!A:D,3,FALSE)</f>
        <v>Kitchenware</v>
      </c>
      <c r="S126">
        <f t="shared" si="7"/>
        <v>5500</v>
      </c>
      <c r="T126">
        <f t="shared" si="8"/>
        <v>3500</v>
      </c>
      <c r="U126">
        <f t="shared" si="9"/>
        <v>2000</v>
      </c>
      <c r="V126" s="3">
        <f t="shared" si="10"/>
        <v>0.36363636363636365</v>
      </c>
      <c r="W126" t="str">
        <f t="shared" si="11"/>
        <v>Mar</v>
      </c>
    </row>
    <row r="127" spans="1:23">
      <c r="A127">
        <v>10203</v>
      </c>
      <c r="B127" s="2">
        <v>45317</v>
      </c>
      <c r="C127">
        <v>45317</v>
      </c>
      <c r="D127" t="s">
        <v>37</v>
      </c>
      <c r="E127" t="str">
        <f>IF(TRIM(D127)="","Unknown",PROPER(TRIM(D127)))</f>
        <v>Mombasa</v>
      </c>
      <c r="F127" t="s">
        <v>16</v>
      </c>
      <c r="G127" t="str">
        <f>PROPER(TRIM(F127))</f>
        <v>Grace Achieng</v>
      </c>
      <c r="H127" t="s">
        <v>53</v>
      </c>
      <c r="I127" t="s">
        <v>54</v>
      </c>
      <c r="J127" t="str">
        <f>PROPER(TRIM(I127))</f>
        <v>Rechargeable Torch Rt-10</v>
      </c>
      <c r="K127">
        <v>2</v>
      </c>
      <c r="L127">
        <f>IF(K127="",0,K127)</f>
        <v>2</v>
      </c>
      <c r="M127">
        <v>950</v>
      </c>
      <c r="N127">
        <f>IF(M127="",0,M127)</f>
        <v>950</v>
      </c>
      <c r="O127" t="str">
        <f>IF(L127&lt;0,"NEGATIVE QUANTITY","")</f>
        <v/>
      </c>
      <c r="P127">
        <f t="shared" si="6"/>
        <v>2</v>
      </c>
      <c r="Q127">
        <f>VLOOKUP(H127,'Product Cost Lookup'!A:D,4,FALSE)</f>
        <v>600</v>
      </c>
      <c r="R127" t="str">
        <f>VLOOKUP(H127,'Product Cost Lookup'!A:D,3,FALSE)</f>
        <v>Electronics</v>
      </c>
      <c r="S127">
        <f t="shared" si="7"/>
        <v>1900</v>
      </c>
      <c r="T127">
        <f t="shared" si="8"/>
        <v>1200</v>
      </c>
      <c r="U127">
        <f t="shared" si="9"/>
        <v>700</v>
      </c>
      <c r="V127" s="3">
        <f t="shared" si="10"/>
        <v>0.36842105263157893</v>
      </c>
      <c r="W127" t="str">
        <f t="shared" si="11"/>
        <v>Jan</v>
      </c>
    </row>
    <row r="128" spans="1:23">
      <c r="A128">
        <v>10215</v>
      </c>
      <c r="B128" s="1">
        <v>45331</v>
      </c>
      <c r="C128">
        <v>45331</v>
      </c>
      <c r="D128" t="s">
        <v>40</v>
      </c>
      <c r="E128" t="str">
        <f>IF(TRIM(D128)="","Unknown",PROPER(TRIM(D128)))</f>
        <v>Thika</v>
      </c>
      <c r="F128" t="s">
        <v>136</v>
      </c>
      <c r="G128" t="str">
        <f>PROPER(TRIM(F128))</f>
        <v>Samuel Kiptoo</v>
      </c>
      <c r="H128" t="s">
        <v>53</v>
      </c>
      <c r="I128" t="s">
        <v>72</v>
      </c>
      <c r="J128" t="str">
        <f>PROPER(TRIM(I128))</f>
        <v>Rechargeable Torch Rt-10</v>
      </c>
      <c r="K128">
        <v>3</v>
      </c>
      <c r="L128">
        <f>IF(K128="",0,K128)</f>
        <v>3</v>
      </c>
      <c r="M128">
        <v>900</v>
      </c>
      <c r="N128">
        <f>IF(M128="",0,M128)</f>
        <v>900</v>
      </c>
      <c r="O128" t="str">
        <f>IF(L128&lt;0,"NEGATIVE QUANTITY","")</f>
        <v/>
      </c>
      <c r="P128">
        <f t="shared" si="6"/>
        <v>3</v>
      </c>
      <c r="Q128">
        <f>VLOOKUP(H128,'Product Cost Lookup'!A:D,4,FALSE)</f>
        <v>600</v>
      </c>
      <c r="R128" t="str">
        <f>VLOOKUP(H128,'Product Cost Lookup'!A:D,3,FALSE)</f>
        <v>Electronics</v>
      </c>
      <c r="S128">
        <f t="shared" si="7"/>
        <v>2700</v>
      </c>
      <c r="T128">
        <f t="shared" si="8"/>
        <v>1800</v>
      </c>
      <c r="U128">
        <f t="shared" si="9"/>
        <v>900</v>
      </c>
      <c r="V128" s="3">
        <f t="shared" si="10"/>
        <v>0.33333333333333331</v>
      </c>
      <c r="W128" t="str">
        <f t="shared" si="11"/>
        <v>Feb</v>
      </c>
    </row>
    <row r="129" spans="1:23">
      <c r="A129">
        <v>10192</v>
      </c>
      <c r="B129" s="1">
        <v>45342</v>
      </c>
      <c r="C129">
        <v>45342</v>
      </c>
      <c r="D129" t="s">
        <v>19</v>
      </c>
      <c r="E129" t="str">
        <f>IF(TRIM(D129)="","Unknown",PROPER(TRIM(D129)))</f>
        <v>Eldoret</v>
      </c>
      <c r="F129" t="s">
        <v>46</v>
      </c>
      <c r="G129" t="str">
        <f>PROPER(TRIM(F129))</f>
        <v>Samuel Kiptoo</v>
      </c>
      <c r="H129" t="s">
        <v>33</v>
      </c>
      <c r="I129" t="s">
        <v>60</v>
      </c>
      <c r="J129" t="str">
        <f>PROPER(TRIM(I129))</f>
        <v>Padlock Set (3Pc)</v>
      </c>
      <c r="K129">
        <v>12</v>
      </c>
      <c r="L129">
        <f>IF(K129="",0,K129)</f>
        <v>12</v>
      </c>
      <c r="M129">
        <v>750</v>
      </c>
      <c r="N129">
        <f>IF(M129="",0,M129)</f>
        <v>750</v>
      </c>
      <c r="O129" t="str">
        <f>IF(L129&lt;0,"NEGATIVE QUANTITY","")</f>
        <v/>
      </c>
      <c r="P129">
        <f t="shared" si="6"/>
        <v>12</v>
      </c>
      <c r="Q129">
        <f>VLOOKUP(H129,'Product Cost Lookup'!A:D,4,FALSE)</f>
        <v>450</v>
      </c>
      <c r="R129" t="str">
        <f>VLOOKUP(H129,'Product Cost Lookup'!A:D,3,FALSE)</f>
        <v>Hardware</v>
      </c>
      <c r="S129">
        <f t="shared" si="7"/>
        <v>9000</v>
      </c>
      <c r="T129">
        <f t="shared" si="8"/>
        <v>5400</v>
      </c>
      <c r="U129">
        <f t="shared" si="9"/>
        <v>3600</v>
      </c>
      <c r="V129" s="3">
        <f t="shared" si="10"/>
        <v>0.4</v>
      </c>
      <c r="W129" t="str">
        <f t="shared" si="11"/>
        <v>Feb</v>
      </c>
    </row>
    <row r="130" spans="1:23">
      <c r="A130">
        <v>10227</v>
      </c>
      <c r="B130" s="1">
        <v>45343</v>
      </c>
      <c r="C130">
        <v>45343</v>
      </c>
      <c r="E130" t="str">
        <f>IF(TRIM(D130)="","Unknown",PROPER(TRIM(D130)))</f>
        <v>Unknown</v>
      </c>
      <c r="F130" t="s">
        <v>48</v>
      </c>
      <c r="G130" t="str">
        <f>PROPER(TRIM(F130))</f>
        <v>Brian Mutua</v>
      </c>
      <c r="H130" t="s">
        <v>17</v>
      </c>
      <c r="I130" t="s">
        <v>18</v>
      </c>
      <c r="J130" t="str">
        <f>PROPER(TRIM(I130))</f>
        <v>20L Jerrycan - Blue</v>
      </c>
      <c r="K130">
        <v>8</v>
      </c>
      <c r="L130">
        <f>IF(K130="",0,K130)</f>
        <v>8</v>
      </c>
      <c r="M130">
        <v>550</v>
      </c>
      <c r="N130">
        <f>IF(M130="",0,M130)</f>
        <v>550</v>
      </c>
      <c r="O130" t="str">
        <f>IF(L130&lt;0,"NEGATIVE QUANTITY","")</f>
        <v/>
      </c>
      <c r="P130">
        <f t="shared" ref="P130:P193" si="12">ABS(L130)</f>
        <v>8</v>
      </c>
      <c r="Q130">
        <f>VLOOKUP(H130,'Product Cost Lookup'!A:D,4,FALSE)</f>
        <v>350</v>
      </c>
      <c r="R130" t="str">
        <f>VLOOKUP(H130,'Product Cost Lookup'!A:D,3,FALSE)</f>
        <v>Household</v>
      </c>
      <c r="S130">
        <f t="shared" ref="S130:S193" si="13">P130*N130</f>
        <v>4400</v>
      </c>
      <c r="T130">
        <f t="shared" ref="T130:T193" si="14">P130*Q130</f>
        <v>2800</v>
      </c>
      <c r="U130">
        <f t="shared" si="9"/>
        <v>1600</v>
      </c>
      <c r="V130" s="3">
        <f t="shared" si="10"/>
        <v>0.36363636363636365</v>
      </c>
      <c r="W130" t="str">
        <f t="shared" si="11"/>
        <v>Feb</v>
      </c>
    </row>
    <row r="131" spans="1:23">
      <c r="A131">
        <v>10301</v>
      </c>
      <c r="B131" s="1">
        <v>45332</v>
      </c>
      <c r="C131">
        <v>45332</v>
      </c>
      <c r="D131" t="s">
        <v>41</v>
      </c>
      <c r="E131" t="str">
        <f>IF(TRIM(D131)="","Unknown",PROPER(TRIM(D131)))</f>
        <v>Nakuru</v>
      </c>
      <c r="F131" t="s">
        <v>64</v>
      </c>
      <c r="G131" t="str">
        <f>PROPER(TRIM(F131))</f>
        <v>Mercy Njeri</v>
      </c>
      <c r="H131" t="s">
        <v>111</v>
      </c>
      <c r="I131" t="s">
        <v>112</v>
      </c>
      <c r="J131" t="str">
        <f>PROPER(TRIM(I131))</f>
        <v>Thermos Flask 1L</v>
      </c>
      <c r="K131">
        <v>12</v>
      </c>
      <c r="L131">
        <f>IF(K131="",0,K131)</f>
        <v>12</v>
      </c>
      <c r="M131">
        <v>850</v>
      </c>
      <c r="N131">
        <f>IF(M131="",0,M131)</f>
        <v>850</v>
      </c>
      <c r="O131" t="str">
        <f>IF(L131&lt;0,"NEGATIVE QUANTITY","")</f>
        <v/>
      </c>
      <c r="P131">
        <f t="shared" si="12"/>
        <v>12</v>
      </c>
      <c r="Q131">
        <f>VLOOKUP(H131,'Product Cost Lookup'!A:D,4,FALSE)</f>
        <v>550</v>
      </c>
      <c r="R131" t="str">
        <f>VLOOKUP(H131,'Product Cost Lookup'!A:D,3,FALSE)</f>
        <v>Kitchenware</v>
      </c>
      <c r="S131">
        <f t="shared" si="13"/>
        <v>10200</v>
      </c>
      <c r="T131">
        <f t="shared" si="14"/>
        <v>6600</v>
      </c>
      <c r="U131">
        <f t="shared" ref="U131:U194" si="15">S131-T131</f>
        <v>3600</v>
      </c>
      <c r="V131" s="3">
        <f t="shared" ref="V131:V194" si="16">IF(S131=0,0,U131/S131)</f>
        <v>0.35294117647058826</v>
      </c>
      <c r="W131" t="str">
        <f t="shared" ref="W131:W194" si="17">TEXT(C131,"mmm")</f>
        <v>Feb</v>
      </c>
    </row>
    <row r="132" spans="1:23">
      <c r="A132">
        <v>10083</v>
      </c>
      <c r="B132" t="s">
        <v>107</v>
      </c>
      <c r="C132">
        <v>45305</v>
      </c>
      <c r="D132" t="s">
        <v>35</v>
      </c>
      <c r="E132" t="str">
        <f>IF(TRIM(D132)="","Unknown",PROPER(TRIM(D132)))</f>
        <v>Kisumu</v>
      </c>
      <c r="F132" t="s">
        <v>24</v>
      </c>
      <c r="G132" t="str">
        <f>PROPER(TRIM(F132))</f>
        <v>Mercy Njeri</v>
      </c>
      <c r="H132" t="s">
        <v>50</v>
      </c>
      <c r="I132" t="s">
        <v>71</v>
      </c>
      <c r="J132" t="str">
        <f>PROPER(TRIM(I132))</f>
        <v>Solar Lantern Sl-200</v>
      </c>
      <c r="K132">
        <v>5</v>
      </c>
      <c r="L132">
        <f>IF(K132="",0,K132)</f>
        <v>5</v>
      </c>
      <c r="M132">
        <v>1550</v>
      </c>
      <c r="N132">
        <f>IF(M132="",0,M132)</f>
        <v>1550</v>
      </c>
      <c r="O132" t="str">
        <f>IF(L132&lt;0,"NEGATIVE QUANTITY","")</f>
        <v/>
      </c>
      <c r="P132">
        <f t="shared" si="12"/>
        <v>5</v>
      </c>
      <c r="Q132">
        <f>VLOOKUP(H132,'Product Cost Lookup'!A:D,4,FALSE)</f>
        <v>900</v>
      </c>
      <c r="R132" t="str">
        <f>VLOOKUP(H132,'Product Cost Lookup'!A:D,3,FALSE)</f>
        <v>Electronics</v>
      </c>
      <c r="S132">
        <f t="shared" si="13"/>
        <v>7750</v>
      </c>
      <c r="T132">
        <f t="shared" si="14"/>
        <v>4500</v>
      </c>
      <c r="U132">
        <f t="shared" si="15"/>
        <v>3250</v>
      </c>
      <c r="V132" s="3">
        <f t="shared" si="16"/>
        <v>0.41935483870967744</v>
      </c>
      <c r="W132" t="str">
        <f t="shared" si="17"/>
        <v>Jan</v>
      </c>
    </row>
    <row r="133" spans="1:23">
      <c r="A133">
        <v>10223</v>
      </c>
      <c r="B133" s="1">
        <v>45321</v>
      </c>
      <c r="C133">
        <v>45321</v>
      </c>
      <c r="D133" t="s">
        <v>79</v>
      </c>
      <c r="E133" t="str">
        <f>IF(TRIM(D133)="","Unknown",PROPER(TRIM(D133)))</f>
        <v>Eldoret</v>
      </c>
      <c r="F133" t="s">
        <v>62</v>
      </c>
      <c r="G133" t="str">
        <f>PROPER(TRIM(F133))</f>
        <v>John Mwangi</v>
      </c>
      <c r="H133" t="s">
        <v>55</v>
      </c>
      <c r="I133" t="s">
        <v>56</v>
      </c>
      <c r="J133" t="str">
        <f>PROPER(TRIM(I133))</f>
        <v>Led Bulb 9W (Pack Of 4)</v>
      </c>
      <c r="K133">
        <v>8</v>
      </c>
      <c r="L133">
        <f>IF(K133="",0,K133)</f>
        <v>8</v>
      </c>
      <c r="M133">
        <v>880</v>
      </c>
      <c r="N133">
        <f>IF(M133="",0,M133)</f>
        <v>880</v>
      </c>
      <c r="O133" t="str">
        <f>IF(L133&lt;0,"NEGATIVE QUANTITY","")</f>
        <v/>
      </c>
      <c r="P133">
        <f t="shared" si="12"/>
        <v>8</v>
      </c>
      <c r="Q133">
        <f>VLOOKUP(H133,'Product Cost Lookup'!A:D,4,FALSE)</f>
        <v>480</v>
      </c>
      <c r="R133" t="str">
        <f>VLOOKUP(H133,'Product Cost Lookup'!A:D,3,FALSE)</f>
        <v>Electronics</v>
      </c>
      <c r="S133">
        <f t="shared" si="13"/>
        <v>7040</v>
      </c>
      <c r="T133">
        <f t="shared" si="14"/>
        <v>3840</v>
      </c>
      <c r="U133">
        <f t="shared" si="15"/>
        <v>3200</v>
      </c>
      <c r="V133" s="3">
        <f t="shared" si="16"/>
        <v>0.45454545454545453</v>
      </c>
      <c r="W133" t="str">
        <f t="shared" si="17"/>
        <v>Jan</v>
      </c>
    </row>
    <row r="134" spans="1:23">
      <c r="A134">
        <v>10307</v>
      </c>
      <c r="B134" t="s">
        <v>67</v>
      </c>
      <c r="C134">
        <v>45340</v>
      </c>
      <c r="D134" t="s">
        <v>15</v>
      </c>
      <c r="E134" t="str">
        <f>IF(TRIM(D134)="","Unknown",PROPER(TRIM(D134)))</f>
        <v>Mombasa</v>
      </c>
      <c r="F134" t="s">
        <v>9</v>
      </c>
      <c r="G134" t="str">
        <f>PROPER(TRIM(F134))</f>
        <v>Peter Otieno</v>
      </c>
      <c r="H134" t="s">
        <v>10</v>
      </c>
      <c r="I134" t="s">
        <v>11</v>
      </c>
      <c r="J134" t="str">
        <f>PROPER(TRIM(I134))</f>
        <v>Kitchen Knife Set</v>
      </c>
      <c r="K134">
        <v>3</v>
      </c>
      <c r="L134">
        <f>IF(K134="",0,K134)</f>
        <v>3</v>
      </c>
      <c r="M134">
        <v>1350</v>
      </c>
      <c r="N134">
        <f>IF(M134="",0,M134)</f>
        <v>1350</v>
      </c>
      <c r="O134" t="str">
        <f>IF(L134&lt;0,"NEGATIVE QUANTITY","")</f>
        <v/>
      </c>
      <c r="P134">
        <f t="shared" si="12"/>
        <v>3</v>
      </c>
      <c r="Q134">
        <f>VLOOKUP(H134,'Product Cost Lookup'!A:D,4,FALSE)</f>
        <v>800</v>
      </c>
      <c r="R134" t="str">
        <f>VLOOKUP(H134,'Product Cost Lookup'!A:D,3,FALSE)</f>
        <v>Kitchenware</v>
      </c>
      <c r="S134">
        <f t="shared" si="13"/>
        <v>4050</v>
      </c>
      <c r="T134">
        <f t="shared" si="14"/>
        <v>2400</v>
      </c>
      <c r="U134">
        <f t="shared" si="15"/>
        <v>1650</v>
      </c>
      <c r="V134" s="3">
        <f t="shared" si="16"/>
        <v>0.40740740740740738</v>
      </c>
      <c r="W134" t="str">
        <f t="shared" si="17"/>
        <v>Feb</v>
      </c>
    </row>
    <row r="135" spans="1:23">
      <c r="A135">
        <v>10271</v>
      </c>
      <c r="B135" t="s">
        <v>137</v>
      </c>
      <c r="C135">
        <v>45372</v>
      </c>
      <c r="D135" t="s">
        <v>15</v>
      </c>
      <c r="E135" t="str">
        <f>IF(TRIM(D135)="","Unknown",PROPER(TRIM(D135)))</f>
        <v>Mombasa</v>
      </c>
      <c r="F135" t="s">
        <v>48</v>
      </c>
      <c r="G135" t="str">
        <f>PROPER(TRIM(F135))</f>
        <v>Brian Mutua</v>
      </c>
      <c r="H135" t="s">
        <v>55</v>
      </c>
      <c r="I135" t="s">
        <v>56</v>
      </c>
      <c r="J135" t="str">
        <f>PROPER(TRIM(I135))</f>
        <v>Led Bulb 9W (Pack Of 4)</v>
      </c>
      <c r="K135">
        <v>2</v>
      </c>
      <c r="L135">
        <f>IF(K135="",0,K135)</f>
        <v>2</v>
      </c>
      <c r="M135">
        <v>780</v>
      </c>
      <c r="N135">
        <f>IF(M135="",0,M135)</f>
        <v>780</v>
      </c>
      <c r="O135" t="str">
        <f>IF(L135&lt;0,"NEGATIVE QUANTITY","")</f>
        <v/>
      </c>
      <c r="P135">
        <f t="shared" si="12"/>
        <v>2</v>
      </c>
      <c r="Q135">
        <f>VLOOKUP(H135,'Product Cost Lookup'!A:D,4,FALSE)</f>
        <v>480</v>
      </c>
      <c r="R135" t="str">
        <f>VLOOKUP(H135,'Product Cost Lookup'!A:D,3,FALSE)</f>
        <v>Electronics</v>
      </c>
      <c r="S135">
        <f t="shared" si="13"/>
        <v>1560</v>
      </c>
      <c r="T135">
        <f t="shared" si="14"/>
        <v>960</v>
      </c>
      <c r="U135">
        <f t="shared" si="15"/>
        <v>600</v>
      </c>
      <c r="V135" s="3">
        <f t="shared" si="16"/>
        <v>0.38461538461538464</v>
      </c>
      <c r="W135" t="str">
        <f t="shared" si="17"/>
        <v>Mar</v>
      </c>
    </row>
    <row r="136" spans="1:23">
      <c r="A136">
        <v>10047</v>
      </c>
      <c r="B136" s="1">
        <v>45324</v>
      </c>
      <c r="C136">
        <v>45324</v>
      </c>
      <c r="D136" t="s">
        <v>37</v>
      </c>
      <c r="E136" t="str">
        <f>IF(TRIM(D136)="","Unknown",PROPER(TRIM(D136)))</f>
        <v>Mombasa</v>
      </c>
      <c r="F136" t="s">
        <v>139</v>
      </c>
      <c r="G136" t="str">
        <f>PROPER(TRIM(F136))</f>
        <v>Grace Achieng</v>
      </c>
      <c r="H136" t="s">
        <v>30</v>
      </c>
      <c r="I136" t="s">
        <v>31</v>
      </c>
      <c r="J136" t="str">
        <f>PROPER(TRIM(I136))</f>
        <v>Garden Hose 20M</v>
      </c>
      <c r="K136">
        <v>4</v>
      </c>
      <c r="L136">
        <f>IF(K136="",0,K136)</f>
        <v>4</v>
      </c>
      <c r="M136">
        <v>1700</v>
      </c>
      <c r="N136">
        <f>IF(M136="",0,M136)</f>
        <v>1700</v>
      </c>
      <c r="O136" t="str">
        <f>IF(L136&lt;0,"NEGATIVE QUANTITY","")</f>
        <v/>
      </c>
      <c r="P136">
        <f t="shared" si="12"/>
        <v>4</v>
      </c>
      <c r="Q136">
        <f>VLOOKUP(H136,'Product Cost Lookup'!A:D,4,FALSE)</f>
        <v>1100</v>
      </c>
      <c r="R136" t="str">
        <f>VLOOKUP(H136,'Product Cost Lookup'!A:D,3,FALSE)</f>
        <v>Hardware</v>
      </c>
      <c r="S136">
        <f t="shared" si="13"/>
        <v>6800</v>
      </c>
      <c r="T136">
        <f t="shared" si="14"/>
        <v>4400</v>
      </c>
      <c r="U136">
        <f t="shared" si="15"/>
        <v>2400</v>
      </c>
      <c r="V136" s="3">
        <f t="shared" si="16"/>
        <v>0.35294117647058826</v>
      </c>
      <c r="W136" t="str">
        <f t="shared" si="17"/>
        <v>Feb</v>
      </c>
    </row>
    <row r="137" spans="1:23">
      <c r="A137">
        <v>10029</v>
      </c>
      <c r="B137" s="1">
        <v>45344</v>
      </c>
      <c r="C137">
        <v>45344</v>
      </c>
      <c r="D137" t="s">
        <v>35</v>
      </c>
      <c r="E137" t="str">
        <f>IF(TRIM(D137)="","Unknown",PROPER(TRIM(D137)))</f>
        <v>Kisumu</v>
      </c>
      <c r="F137" t="s">
        <v>48</v>
      </c>
      <c r="G137" t="str">
        <f>PROPER(TRIM(F137))</f>
        <v>Brian Mutua</v>
      </c>
      <c r="H137" t="s">
        <v>30</v>
      </c>
      <c r="I137" t="s">
        <v>140</v>
      </c>
      <c r="J137" t="str">
        <f>PROPER(TRIM(I137))</f>
        <v>Garden Hose 20M</v>
      </c>
      <c r="K137">
        <v>5</v>
      </c>
      <c r="L137">
        <f>IF(K137="",0,K137)</f>
        <v>5</v>
      </c>
      <c r="M137">
        <v>1800</v>
      </c>
      <c r="N137">
        <f>IF(M137="",0,M137)</f>
        <v>1800</v>
      </c>
      <c r="O137" t="str">
        <f>IF(L137&lt;0,"NEGATIVE QUANTITY","")</f>
        <v/>
      </c>
      <c r="P137">
        <f t="shared" si="12"/>
        <v>5</v>
      </c>
      <c r="Q137">
        <f>VLOOKUP(H137,'Product Cost Lookup'!A:D,4,FALSE)</f>
        <v>1100</v>
      </c>
      <c r="R137" t="str">
        <f>VLOOKUP(H137,'Product Cost Lookup'!A:D,3,FALSE)</f>
        <v>Hardware</v>
      </c>
      <c r="S137">
        <f t="shared" si="13"/>
        <v>9000</v>
      </c>
      <c r="T137">
        <f t="shared" si="14"/>
        <v>5500</v>
      </c>
      <c r="U137">
        <f t="shared" si="15"/>
        <v>3500</v>
      </c>
      <c r="V137" s="3">
        <f t="shared" si="16"/>
        <v>0.3888888888888889</v>
      </c>
      <c r="W137" t="str">
        <f t="shared" si="17"/>
        <v>Feb</v>
      </c>
    </row>
    <row r="138" spans="1:23">
      <c r="A138">
        <v>10220</v>
      </c>
      <c r="B138" s="1">
        <v>45361</v>
      </c>
      <c r="C138">
        <v>45361</v>
      </c>
      <c r="E138" t="str">
        <f>IF(TRIM(D138)="","Unknown",PROPER(TRIM(D138)))</f>
        <v>Unknown</v>
      </c>
      <c r="F138" t="s">
        <v>136</v>
      </c>
      <c r="G138" t="str">
        <f>PROPER(TRIM(F138))</f>
        <v>Samuel Kiptoo</v>
      </c>
      <c r="H138" t="s">
        <v>93</v>
      </c>
      <c r="I138" t="s">
        <v>141</v>
      </c>
      <c r="J138" t="str">
        <f>PROPER(TRIM(I138))</f>
        <v>Non-Stick Frying Pan 28Cm</v>
      </c>
      <c r="K138">
        <v>4</v>
      </c>
      <c r="L138">
        <f>IF(K138="",0,K138)</f>
        <v>4</v>
      </c>
      <c r="M138">
        <v>1050</v>
      </c>
      <c r="N138">
        <f>IF(M138="",0,M138)</f>
        <v>1050</v>
      </c>
      <c r="O138" t="str">
        <f>IF(L138&lt;0,"NEGATIVE QUANTITY","")</f>
        <v/>
      </c>
      <c r="P138">
        <f t="shared" si="12"/>
        <v>4</v>
      </c>
      <c r="Q138">
        <f>VLOOKUP(H138,'Product Cost Lookup'!A:D,4,FALSE)</f>
        <v>700</v>
      </c>
      <c r="R138" t="str">
        <f>VLOOKUP(H138,'Product Cost Lookup'!A:D,3,FALSE)</f>
        <v>Kitchenware</v>
      </c>
      <c r="S138">
        <f t="shared" si="13"/>
        <v>4200</v>
      </c>
      <c r="T138">
        <f t="shared" si="14"/>
        <v>2800</v>
      </c>
      <c r="U138">
        <f t="shared" si="15"/>
        <v>1400</v>
      </c>
      <c r="V138" s="3">
        <f t="shared" si="16"/>
        <v>0.33333333333333331</v>
      </c>
      <c r="W138" t="str">
        <f t="shared" si="17"/>
        <v>Mar</v>
      </c>
    </row>
    <row r="139" spans="1:23">
      <c r="A139">
        <v>10024</v>
      </c>
      <c r="B139" s="1">
        <v>45344</v>
      </c>
      <c r="C139">
        <v>45344</v>
      </c>
      <c r="D139" t="s">
        <v>19</v>
      </c>
      <c r="E139" t="str">
        <f>IF(TRIM(D139)="","Unknown",PROPER(TRIM(D139)))</f>
        <v>Eldoret</v>
      </c>
      <c r="F139" t="s">
        <v>9</v>
      </c>
      <c r="G139" t="str">
        <f>PROPER(TRIM(F139))</f>
        <v>Peter Otieno</v>
      </c>
      <c r="H139" t="s">
        <v>21</v>
      </c>
      <c r="I139" t="s">
        <v>22</v>
      </c>
      <c r="J139" t="str">
        <f>PROPER(TRIM(I139))</f>
        <v>Water Dispenser Stand</v>
      </c>
      <c r="K139">
        <v>4</v>
      </c>
      <c r="L139">
        <f>IF(K139="",0,K139)</f>
        <v>4</v>
      </c>
      <c r="M139">
        <v>2300</v>
      </c>
      <c r="N139">
        <f>IF(M139="",0,M139)</f>
        <v>2300</v>
      </c>
      <c r="O139" t="str">
        <f>IF(L139&lt;0,"NEGATIVE QUANTITY","")</f>
        <v/>
      </c>
      <c r="P139">
        <f t="shared" si="12"/>
        <v>4</v>
      </c>
      <c r="Q139">
        <f>VLOOKUP(H139,'Product Cost Lookup'!A:D,4,FALSE)</f>
        <v>1500</v>
      </c>
      <c r="R139" t="str">
        <f>VLOOKUP(H139,'Product Cost Lookup'!A:D,3,FALSE)</f>
        <v>Household</v>
      </c>
      <c r="S139">
        <f t="shared" si="13"/>
        <v>9200</v>
      </c>
      <c r="T139">
        <f t="shared" si="14"/>
        <v>6000</v>
      </c>
      <c r="U139">
        <f t="shared" si="15"/>
        <v>3200</v>
      </c>
      <c r="V139" s="3">
        <f t="shared" si="16"/>
        <v>0.34782608695652173</v>
      </c>
      <c r="W139" t="str">
        <f t="shared" si="17"/>
        <v>Feb</v>
      </c>
    </row>
    <row r="140" spans="1:23">
      <c r="A140">
        <v>10168</v>
      </c>
      <c r="B140" s="1">
        <v>45380</v>
      </c>
      <c r="C140">
        <v>45380</v>
      </c>
      <c r="D140" t="s">
        <v>41</v>
      </c>
      <c r="E140" t="str">
        <f>IF(TRIM(D140)="","Unknown",PROPER(TRIM(D140)))</f>
        <v>Nakuru</v>
      </c>
      <c r="F140" t="s">
        <v>62</v>
      </c>
      <c r="G140" t="str">
        <f>PROPER(TRIM(F140))</f>
        <v>John Mwangi</v>
      </c>
      <c r="H140" t="s">
        <v>10</v>
      </c>
      <c r="I140" t="s">
        <v>11</v>
      </c>
      <c r="J140" t="str">
        <f>PROPER(TRIM(I140))</f>
        <v>Kitchen Knife Set</v>
      </c>
      <c r="K140">
        <v>6</v>
      </c>
      <c r="L140">
        <f>IF(K140="",0,K140)</f>
        <v>6</v>
      </c>
      <c r="M140">
        <v>1400</v>
      </c>
      <c r="N140">
        <f>IF(M140="",0,M140)</f>
        <v>1400</v>
      </c>
      <c r="O140" t="str">
        <f>IF(L140&lt;0,"NEGATIVE QUANTITY","")</f>
        <v/>
      </c>
      <c r="P140">
        <f t="shared" si="12"/>
        <v>6</v>
      </c>
      <c r="Q140">
        <f>VLOOKUP(H140,'Product Cost Lookup'!A:D,4,FALSE)</f>
        <v>800</v>
      </c>
      <c r="R140" t="str">
        <f>VLOOKUP(H140,'Product Cost Lookup'!A:D,3,FALSE)</f>
        <v>Kitchenware</v>
      </c>
      <c r="S140">
        <f t="shared" si="13"/>
        <v>8400</v>
      </c>
      <c r="T140">
        <f t="shared" si="14"/>
        <v>4800</v>
      </c>
      <c r="U140">
        <f t="shared" si="15"/>
        <v>3600</v>
      </c>
      <c r="V140" s="3">
        <f t="shared" si="16"/>
        <v>0.42857142857142855</v>
      </c>
      <c r="W140" t="str">
        <f t="shared" si="17"/>
        <v>Mar</v>
      </c>
    </row>
    <row r="141" spans="1:23">
      <c r="A141">
        <v>10333</v>
      </c>
      <c r="B141" s="2">
        <v>45320</v>
      </c>
      <c r="C141">
        <v>45320</v>
      </c>
      <c r="D141" t="s">
        <v>47</v>
      </c>
      <c r="E141" t="str">
        <f>IF(TRIM(D141)="","Unknown",PROPER(TRIM(D141)))</f>
        <v>Mombasa</v>
      </c>
      <c r="F141" t="s">
        <v>142</v>
      </c>
      <c r="G141" t="str">
        <f>PROPER(TRIM(F141))</f>
        <v>Mercy Njeri</v>
      </c>
      <c r="H141" t="s">
        <v>17</v>
      </c>
      <c r="I141" t="s">
        <v>18</v>
      </c>
      <c r="J141" t="str">
        <f>PROPER(TRIM(I141))</f>
        <v>20L Jerrycan - Blue</v>
      </c>
      <c r="K141">
        <v>5</v>
      </c>
      <c r="L141">
        <f>IF(K141="",0,K141)</f>
        <v>5</v>
      </c>
      <c r="M141">
        <v>650</v>
      </c>
      <c r="N141">
        <f>IF(M141="",0,M141)</f>
        <v>650</v>
      </c>
      <c r="O141" t="str">
        <f>IF(L141&lt;0,"NEGATIVE QUANTITY","")</f>
        <v/>
      </c>
      <c r="P141">
        <f t="shared" si="12"/>
        <v>5</v>
      </c>
      <c r="Q141">
        <f>VLOOKUP(H141,'Product Cost Lookup'!A:D,4,FALSE)</f>
        <v>350</v>
      </c>
      <c r="R141" t="str">
        <f>VLOOKUP(H141,'Product Cost Lookup'!A:D,3,FALSE)</f>
        <v>Household</v>
      </c>
      <c r="S141">
        <f t="shared" si="13"/>
        <v>3250</v>
      </c>
      <c r="T141">
        <f t="shared" si="14"/>
        <v>1750</v>
      </c>
      <c r="U141">
        <f t="shared" si="15"/>
        <v>1500</v>
      </c>
      <c r="V141" s="3">
        <f t="shared" si="16"/>
        <v>0.46153846153846156</v>
      </c>
      <c r="W141" t="str">
        <f t="shared" si="17"/>
        <v>Jan</v>
      </c>
    </row>
    <row r="142" spans="1:23">
      <c r="A142">
        <v>10037</v>
      </c>
      <c r="B142" s="1">
        <v>45326</v>
      </c>
      <c r="C142">
        <v>45326</v>
      </c>
      <c r="D142" t="s">
        <v>41</v>
      </c>
      <c r="E142" t="str">
        <f>IF(TRIM(D142)="","Unknown",PROPER(TRIM(D142)))</f>
        <v>Nakuru</v>
      </c>
      <c r="F142" t="s">
        <v>81</v>
      </c>
      <c r="G142" t="str">
        <f>PROPER(TRIM(F142))</f>
        <v>Aisha Hassan</v>
      </c>
      <c r="H142" t="s">
        <v>17</v>
      </c>
      <c r="I142" t="s">
        <v>18</v>
      </c>
      <c r="J142" t="str">
        <f>PROPER(TRIM(I142))</f>
        <v>20L Jerrycan - Blue</v>
      </c>
      <c r="K142">
        <v>8</v>
      </c>
      <c r="L142">
        <f>IF(K142="",0,K142)</f>
        <v>8</v>
      </c>
      <c r="M142">
        <v>550</v>
      </c>
      <c r="N142">
        <f>IF(M142="",0,M142)</f>
        <v>550</v>
      </c>
      <c r="O142" t="str">
        <f>IF(L142&lt;0,"NEGATIVE QUANTITY","")</f>
        <v/>
      </c>
      <c r="P142">
        <f t="shared" si="12"/>
        <v>8</v>
      </c>
      <c r="Q142">
        <f>VLOOKUP(H142,'Product Cost Lookup'!A:D,4,FALSE)</f>
        <v>350</v>
      </c>
      <c r="R142" t="str">
        <f>VLOOKUP(H142,'Product Cost Lookup'!A:D,3,FALSE)</f>
        <v>Household</v>
      </c>
      <c r="S142">
        <f t="shared" si="13"/>
        <v>4400</v>
      </c>
      <c r="T142">
        <f t="shared" si="14"/>
        <v>2800</v>
      </c>
      <c r="U142">
        <f t="shared" si="15"/>
        <v>1600</v>
      </c>
      <c r="V142" s="3">
        <f t="shared" si="16"/>
        <v>0.36363636363636365</v>
      </c>
      <c r="W142" t="str">
        <f t="shared" si="17"/>
        <v>Feb</v>
      </c>
    </row>
    <row r="143" spans="1:23">
      <c r="A143">
        <v>10248</v>
      </c>
      <c r="B143" s="1">
        <v>45306</v>
      </c>
      <c r="C143">
        <v>45306</v>
      </c>
      <c r="D143" t="s">
        <v>74</v>
      </c>
      <c r="E143" t="str">
        <f>IF(TRIM(D143)="","Unknown",PROPER(TRIM(D143)))</f>
        <v>Nairobi</v>
      </c>
      <c r="F143" t="s">
        <v>62</v>
      </c>
      <c r="G143" t="str">
        <f>PROPER(TRIM(F143))</f>
        <v>John Mwangi</v>
      </c>
      <c r="H143" t="s">
        <v>17</v>
      </c>
      <c r="I143" t="s">
        <v>18</v>
      </c>
      <c r="J143" t="str">
        <f>PROPER(TRIM(I143))</f>
        <v>20L Jerrycan - Blue</v>
      </c>
      <c r="K143">
        <v>3</v>
      </c>
      <c r="L143">
        <f>IF(K143="",0,K143)</f>
        <v>3</v>
      </c>
      <c r="M143">
        <v>550</v>
      </c>
      <c r="N143">
        <f>IF(M143="",0,M143)</f>
        <v>550</v>
      </c>
      <c r="O143" t="str">
        <f>IF(L143&lt;0,"NEGATIVE QUANTITY","")</f>
        <v/>
      </c>
      <c r="P143">
        <f t="shared" si="12"/>
        <v>3</v>
      </c>
      <c r="Q143">
        <f>VLOOKUP(H143,'Product Cost Lookup'!A:D,4,FALSE)</f>
        <v>350</v>
      </c>
      <c r="R143" t="str">
        <f>VLOOKUP(H143,'Product Cost Lookup'!A:D,3,FALSE)</f>
        <v>Household</v>
      </c>
      <c r="S143">
        <f t="shared" si="13"/>
        <v>1650</v>
      </c>
      <c r="T143">
        <f t="shared" si="14"/>
        <v>1050</v>
      </c>
      <c r="U143">
        <f t="shared" si="15"/>
        <v>600</v>
      </c>
      <c r="V143" s="3">
        <f t="shared" si="16"/>
        <v>0.36363636363636365</v>
      </c>
      <c r="W143" t="str">
        <f t="shared" si="17"/>
        <v>Jan</v>
      </c>
    </row>
    <row r="144" spans="1:23">
      <c r="A144">
        <v>10014</v>
      </c>
      <c r="B144" t="s">
        <v>143</v>
      </c>
      <c r="C144">
        <v>45344</v>
      </c>
      <c r="D144" t="s">
        <v>15</v>
      </c>
      <c r="E144" t="str">
        <f>IF(TRIM(D144)="","Unknown",PROPER(TRIM(D144)))</f>
        <v>Mombasa</v>
      </c>
      <c r="F144" t="s">
        <v>134</v>
      </c>
      <c r="G144" t="str">
        <f>PROPER(TRIM(F144))</f>
        <v>Grace Achieng</v>
      </c>
      <c r="H144" t="s">
        <v>50</v>
      </c>
      <c r="I144" t="s">
        <v>69</v>
      </c>
      <c r="J144" t="str">
        <f>PROPER(TRIM(I144))</f>
        <v>Solar Lantern Sl-200</v>
      </c>
      <c r="K144">
        <v>20</v>
      </c>
      <c r="L144">
        <f>IF(K144="",0,K144)</f>
        <v>20</v>
      </c>
      <c r="M144">
        <v>1500</v>
      </c>
      <c r="N144">
        <f>IF(M144="",0,M144)</f>
        <v>1500</v>
      </c>
      <c r="O144" t="str">
        <f>IF(L144&lt;0,"NEGATIVE QUANTITY","")</f>
        <v/>
      </c>
      <c r="P144">
        <f t="shared" si="12"/>
        <v>20</v>
      </c>
      <c r="Q144">
        <f>VLOOKUP(H144,'Product Cost Lookup'!A:D,4,FALSE)</f>
        <v>900</v>
      </c>
      <c r="R144" t="str">
        <f>VLOOKUP(H144,'Product Cost Lookup'!A:D,3,FALSE)</f>
        <v>Electronics</v>
      </c>
      <c r="S144">
        <f t="shared" si="13"/>
        <v>30000</v>
      </c>
      <c r="T144">
        <f t="shared" si="14"/>
        <v>18000</v>
      </c>
      <c r="U144">
        <f t="shared" si="15"/>
        <v>12000</v>
      </c>
      <c r="V144" s="3">
        <f t="shared" si="16"/>
        <v>0.4</v>
      </c>
      <c r="W144" t="str">
        <f t="shared" si="17"/>
        <v>Feb</v>
      </c>
    </row>
    <row r="145" spans="1:23">
      <c r="A145">
        <v>10076</v>
      </c>
      <c r="B145" s="2">
        <v>45300</v>
      </c>
      <c r="C145">
        <v>45300</v>
      </c>
      <c r="D145" t="s">
        <v>79</v>
      </c>
      <c r="E145" t="str">
        <f>IF(TRIM(D145)="","Unknown",PROPER(TRIM(D145)))</f>
        <v>Eldoret</v>
      </c>
      <c r="F145" t="s">
        <v>14</v>
      </c>
      <c r="G145" t="str">
        <f>PROPER(TRIM(F145))</f>
        <v>Faith Wanjiru</v>
      </c>
      <c r="H145" t="s">
        <v>90</v>
      </c>
      <c r="I145" t="s">
        <v>96</v>
      </c>
      <c r="J145" t="str">
        <f>PROPER(TRIM(I145))</f>
        <v>Wheelbarrow - Heavy Duty</v>
      </c>
      <c r="K145">
        <v>4</v>
      </c>
      <c r="L145">
        <f>IF(K145="",0,K145)</f>
        <v>4</v>
      </c>
      <c r="M145">
        <v>5200</v>
      </c>
      <c r="N145">
        <f>IF(M145="",0,M145)</f>
        <v>5200</v>
      </c>
      <c r="O145" t="str">
        <f>IF(L145&lt;0,"NEGATIVE QUANTITY","")</f>
        <v/>
      </c>
      <c r="P145">
        <f t="shared" si="12"/>
        <v>4</v>
      </c>
      <c r="Q145">
        <f>VLOOKUP(H145,'Product Cost Lookup'!A:D,4,FALSE)</f>
        <v>3500</v>
      </c>
      <c r="R145" t="str">
        <f>VLOOKUP(H145,'Product Cost Lookup'!A:D,3,FALSE)</f>
        <v>Hardware</v>
      </c>
      <c r="S145">
        <f t="shared" si="13"/>
        <v>20800</v>
      </c>
      <c r="T145">
        <f t="shared" si="14"/>
        <v>14000</v>
      </c>
      <c r="U145">
        <f t="shared" si="15"/>
        <v>6800</v>
      </c>
      <c r="V145" s="3">
        <f t="shared" si="16"/>
        <v>0.32692307692307693</v>
      </c>
      <c r="W145" t="str">
        <f t="shared" si="17"/>
        <v>Jan</v>
      </c>
    </row>
    <row r="146" spans="1:23">
      <c r="A146">
        <v>10043</v>
      </c>
      <c r="B146" s="1">
        <v>45345</v>
      </c>
      <c r="C146">
        <v>45345</v>
      </c>
      <c r="D146" t="s">
        <v>41</v>
      </c>
      <c r="E146" t="str">
        <f>IF(TRIM(D146)="","Unknown",PROPER(TRIM(D146)))</f>
        <v>Nakuru</v>
      </c>
      <c r="F146" t="s">
        <v>16</v>
      </c>
      <c r="G146" t="str">
        <f>PROPER(TRIM(F146))</f>
        <v>Grace Achieng</v>
      </c>
      <c r="H146" t="s">
        <v>65</v>
      </c>
      <c r="I146" t="s">
        <v>73</v>
      </c>
      <c r="J146" t="str">
        <f>PROPER(TRIM(I146))</f>
        <v>Mosquito Net - Family Size</v>
      </c>
      <c r="K146">
        <v>6</v>
      </c>
      <c r="L146">
        <f>IF(K146="",0,K146)</f>
        <v>6</v>
      </c>
      <c r="M146">
        <v>700</v>
      </c>
      <c r="N146">
        <f>IF(M146="",0,M146)</f>
        <v>700</v>
      </c>
      <c r="O146" t="str">
        <f>IF(L146&lt;0,"NEGATIVE QUANTITY","")</f>
        <v/>
      </c>
      <c r="P146">
        <f t="shared" si="12"/>
        <v>6</v>
      </c>
      <c r="Q146">
        <f>VLOOKUP(H146,'Product Cost Lookup'!A:D,4,FALSE)</f>
        <v>400</v>
      </c>
      <c r="R146" t="str">
        <f>VLOOKUP(H146,'Product Cost Lookup'!A:D,3,FALSE)</f>
        <v>Household</v>
      </c>
      <c r="S146">
        <f t="shared" si="13"/>
        <v>4200</v>
      </c>
      <c r="T146">
        <f t="shared" si="14"/>
        <v>2400</v>
      </c>
      <c r="U146">
        <f t="shared" si="15"/>
        <v>1800</v>
      </c>
      <c r="V146" s="3">
        <f t="shared" si="16"/>
        <v>0.42857142857142855</v>
      </c>
      <c r="W146" t="str">
        <f t="shared" si="17"/>
        <v>Feb</v>
      </c>
    </row>
    <row r="147" spans="1:23">
      <c r="A147">
        <v>10331</v>
      </c>
      <c r="B147" t="s">
        <v>131</v>
      </c>
      <c r="C147">
        <v>45368</v>
      </c>
      <c r="D147" t="s">
        <v>41</v>
      </c>
      <c r="E147" t="str">
        <f>IF(TRIM(D147)="","Unknown",PROPER(TRIM(D147)))</f>
        <v>Nakuru</v>
      </c>
      <c r="F147" t="s">
        <v>24</v>
      </c>
      <c r="G147" t="str">
        <f>PROPER(TRIM(F147))</f>
        <v>Mercy Njeri</v>
      </c>
      <c r="H147" t="s">
        <v>21</v>
      </c>
      <c r="I147" t="s">
        <v>22</v>
      </c>
      <c r="J147" t="str">
        <f>PROPER(TRIM(I147))</f>
        <v>Water Dispenser Stand</v>
      </c>
      <c r="K147">
        <v>6</v>
      </c>
      <c r="L147">
        <f>IF(K147="",0,K147)</f>
        <v>6</v>
      </c>
      <c r="M147">
        <v>2400</v>
      </c>
      <c r="N147">
        <f>IF(M147="",0,M147)</f>
        <v>2400</v>
      </c>
      <c r="O147" t="str">
        <f>IF(L147&lt;0,"NEGATIVE QUANTITY","")</f>
        <v/>
      </c>
      <c r="P147">
        <f t="shared" si="12"/>
        <v>6</v>
      </c>
      <c r="Q147">
        <f>VLOOKUP(H147,'Product Cost Lookup'!A:D,4,FALSE)</f>
        <v>1500</v>
      </c>
      <c r="R147" t="str">
        <f>VLOOKUP(H147,'Product Cost Lookup'!A:D,3,FALSE)</f>
        <v>Household</v>
      </c>
      <c r="S147">
        <f t="shared" si="13"/>
        <v>14400</v>
      </c>
      <c r="T147">
        <f t="shared" si="14"/>
        <v>9000</v>
      </c>
      <c r="U147">
        <f t="shared" si="15"/>
        <v>5400</v>
      </c>
      <c r="V147" s="3">
        <f t="shared" si="16"/>
        <v>0.375</v>
      </c>
      <c r="W147" t="str">
        <f t="shared" si="17"/>
        <v>Mar</v>
      </c>
    </row>
    <row r="148" spans="1:23">
      <c r="A148">
        <v>10074</v>
      </c>
      <c r="B148" s="1">
        <v>45375</v>
      </c>
      <c r="C148">
        <v>45375</v>
      </c>
      <c r="D148" t="s">
        <v>74</v>
      </c>
      <c r="E148" t="str">
        <f>IF(TRIM(D148)="","Unknown",PROPER(TRIM(D148)))</f>
        <v>Nairobi</v>
      </c>
      <c r="F148" t="s">
        <v>27</v>
      </c>
      <c r="G148" t="str">
        <f>PROPER(TRIM(F148))</f>
        <v>Aisha Hassan</v>
      </c>
      <c r="H148" t="s">
        <v>90</v>
      </c>
      <c r="I148" t="s">
        <v>144</v>
      </c>
      <c r="J148" t="str">
        <f>PROPER(TRIM(I148))</f>
        <v>Wheelbarrow - Heavy Duty</v>
      </c>
      <c r="K148">
        <v>8</v>
      </c>
      <c r="L148">
        <f>IF(K148="",0,K148)</f>
        <v>8</v>
      </c>
      <c r="M148">
        <v>5200</v>
      </c>
      <c r="N148">
        <f>IF(M148="",0,M148)</f>
        <v>5200</v>
      </c>
      <c r="O148" t="str">
        <f>IF(L148&lt;0,"NEGATIVE QUANTITY","")</f>
        <v/>
      </c>
      <c r="P148">
        <f t="shared" si="12"/>
        <v>8</v>
      </c>
      <c r="Q148">
        <f>VLOOKUP(H148,'Product Cost Lookup'!A:D,4,FALSE)</f>
        <v>3500</v>
      </c>
      <c r="R148" t="str">
        <f>VLOOKUP(H148,'Product Cost Lookup'!A:D,3,FALSE)</f>
        <v>Hardware</v>
      </c>
      <c r="S148">
        <f t="shared" si="13"/>
        <v>41600</v>
      </c>
      <c r="T148">
        <f t="shared" si="14"/>
        <v>28000</v>
      </c>
      <c r="U148">
        <f t="shared" si="15"/>
        <v>13600</v>
      </c>
      <c r="V148" s="3">
        <f t="shared" si="16"/>
        <v>0.32692307692307693</v>
      </c>
      <c r="W148" t="str">
        <f t="shared" si="17"/>
        <v>Mar</v>
      </c>
    </row>
    <row r="149" spans="1:23">
      <c r="A149">
        <v>10293</v>
      </c>
      <c r="B149" s="1">
        <v>45325</v>
      </c>
      <c r="C149">
        <v>45325</v>
      </c>
      <c r="D149" t="s">
        <v>145</v>
      </c>
      <c r="E149" t="str">
        <f>IF(TRIM(D149)="","Unknown",PROPER(TRIM(D149)))</f>
        <v>Eldoret</v>
      </c>
      <c r="F149" t="s">
        <v>49</v>
      </c>
      <c r="G149" t="str">
        <f>PROPER(TRIM(F149))</f>
        <v>Brian Mutua</v>
      </c>
      <c r="H149" t="s">
        <v>90</v>
      </c>
      <c r="I149" t="s">
        <v>91</v>
      </c>
      <c r="J149" t="str">
        <f>PROPER(TRIM(I149))</f>
        <v>Wheelbarrow Heavy Duty</v>
      </c>
      <c r="K149">
        <v>6</v>
      </c>
      <c r="L149">
        <f>IF(K149="",0,K149)</f>
        <v>6</v>
      </c>
      <c r="M149">
        <v>5300</v>
      </c>
      <c r="N149">
        <f>IF(M149="",0,M149)</f>
        <v>5300</v>
      </c>
      <c r="O149" t="str">
        <f>IF(L149&lt;0,"NEGATIVE QUANTITY","")</f>
        <v/>
      </c>
      <c r="P149">
        <f t="shared" si="12"/>
        <v>6</v>
      </c>
      <c r="Q149">
        <f>VLOOKUP(H149,'Product Cost Lookup'!A:D,4,FALSE)</f>
        <v>3500</v>
      </c>
      <c r="R149" t="str">
        <f>VLOOKUP(H149,'Product Cost Lookup'!A:D,3,FALSE)</f>
        <v>Hardware</v>
      </c>
      <c r="S149">
        <f t="shared" si="13"/>
        <v>31800</v>
      </c>
      <c r="T149">
        <f t="shared" si="14"/>
        <v>21000</v>
      </c>
      <c r="U149">
        <f t="shared" si="15"/>
        <v>10800</v>
      </c>
      <c r="V149" s="3">
        <f t="shared" si="16"/>
        <v>0.33962264150943394</v>
      </c>
      <c r="W149" t="str">
        <f t="shared" si="17"/>
        <v>Feb</v>
      </c>
    </row>
    <row r="150" spans="1:23">
      <c r="A150">
        <v>10327</v>
      </c>
      <c r="B150" s="1">
        <v>45358</v>
      </c>
      <c r="C150">
        <v>45358</v>
      </c>
      <c r="D150" t="s">
        <v>29</v>
      </c>
      <c r="E150" t="str">
        <f>IF(TRIM(D150)="","Unknown",PROPER(TRIM(D150)))</f>
        <v>Thika</v>
      </c>
      <c r="F150" t="s">
        <v>134</v>
      </c>
      <c r="G150" t="str">
        <f>PROPER(TRIM(F150))</f>
        <v>Grace Achieng</v>
      </c>
      <c r="H150" t="s">
        <v>17</v>
      </c>
      <c r="I150" t="s">
        <v>18</v>
      </c>
      <c r="J150" t="str">
        <f>PROPER(TRIM(I150))</f>
        <v>20L Jerrycan - Blue</v>
      </c>
      <c r="K150">
        <v>3</v>
      </c>
      <c r="L150">
        <f>IF(K150="",0,K150)</f>
        <v>3</v>
      </c>
      <c r="M150">
        <v>550</v>
      </c>
      <c r="N150">
        <f>IF(M150="",0,M150)</f>
        <v>550</v>
      </c>
      <c r="O150" t="str">
        <f>IF(L150&lt;0,"NEGATIVE QUANTITY","")</f>
        <v/>
      </c>
      <c r="P150">
        <f t="shared" si="12"/>
        <v>3</v>
      </c>
      <c r="Q150">
        <f>VLOOKUP(H150,'Product Cost Lookup'!A:D,4,FALSE)</f>
        <v>350</v>
      </c>
      <c r="R150" t="str">
        <f>VLOOKUP(H150,'Product Cost Lookup'!A:D,3,FALSE)</f>
        <v>Household</v>
      </c>
      <c r="S150">
        <f t="shared" si="13"/>
        <v>1650</v>
      </c>
      <c r="T150">
        <f t="shared" si="14"/>
        <v>1050</v>
      </c>
      <c r="U150">
        <f t="shared" si="15"/>
        <v>600</v>
      </c>
      <c r="V150" s="3">
        <f t="shared" si="16"/>
        <v>0.36363636363636365</v>
      </c>
      <c r="W150" t="str">
        <f t="shared" si="17"/>
        <v>Mar</v>
      </c>
    </row>
    <row r="151" spans="1:23">
      <c r="A151">
        <v>10332</v>
      </c>
      <c r="B151" s="1">
        <v>45362</v>
      </c>
      <c r="C151">
        <v>45362</v>
      </c>
      <c r="D151" t="s">
        <v>40</v>
      </c>
      <c r="E151" t="str">
        <f>IF(TRIM(D151)="","Unknown",PROPER(TRIM(D151)))</f>
        <v>Thika</v>
      </c>
      <c r="F151" t="s">
        <v>46</v>
      </c>
      <c r="G151" t="str">
        <f>PROPER(TRIM(F151))</f>
        <v>Samuel Kiptoo</v>
      </c>
      <c r="H151" t="s">
        <v>25</v>
      </c>
      <c r="I151" t="s">
        <v>97</v>
      </c>
      <c r="J151" t="str">
        <f>PROPER(TRIM(I151))</f>
        <v>Plastic Storage Basket (L)</v>
      </c>
      <c r="K151">
        <v>10</v>
      </c>
      <c r="L151">
        <f>IF(K151="",0,K151)</f>
        <v>10</v>
      </c>
      <c r="N151">
        <f>IF(M151="",0,M151)</f>
        <v>0</v>
      </c>
      <c r="O151" t="str">
        <f>IF(L151&lt;0,"NEGATIVE QUANTITY","")</f>
        <v/>
      </c>
      <c r="P151">
        <f t="shared" si="12"/>
        <v>10</v>
      </c>
      <c r="Q151">
        <f>VLOOKUP(H151,'Product Cost Lookup'!A:D,4,FALSE)</f>
        <v>250</v>
      </c>
      <c r="R151" t="str">
        <f>VLOOKUP(H151,'Product Cost Lookup'!A:D,3,FALSE)</f>
        <v>Household</v>
      </c>
      <c r="S151">
        <f t="shared" si="13"/>
        <v>0</v>
      </c>
      <c r="T151">
        <f t="shared" si="14"/>
        <v>2500</v>
      </c>
      <c r="U151">
        <f t="shared" si="15"/>
        <v>-2500</v>
      </c>
      <c r="V151" s="3">
        <f t="shared" si="16"/>
        <v>0</v>
      </c>
      <c r="W151" t="str">
        <f t="shared" si="17"/>
        <v>Mar</v>
      </c>
    </row>
    <row r="152" spans="1:23">
      <c r="A152">
        <v>10329</v>
      </c>
      <c r="B152" s="1">
        <v>45299</v>
      </c>
      <c r="C152">
        <v>45299</v>
      </c>
      <c r="D152" t="s">
        <v>19</v>
      </c>
      <c r="E152" t="str">
        <f>IF(TRIM(D152)="","Unknown",PROPER(TRIM(D152)))</f>
        <v>Eldoret</v>
      </c>
      <c r="F152" t="s">
        <v>114</v>
      </c>
      <c r="G152" t="str">
        <f>PROPER(TRIM(F152))</f>
        <v>Samuel Kiptoo</v>
      </c>
      <c r="H152" t="s">
        <v>111</v>
      </c>
      <c r="I152" t="s">
        <v>112</v>
      </c>
      <c r="J152" t="str">
        <f>PROPER(TRIM(I152))</f>
        <v>Thermos Flask 1L</v>
      </c>
      <c r="K152">
        <v>1</v>
      </c>
      <c r="L152">
        <f>IF(K152="",0,K152)</f>
        <v>1</v>
      </c>
      <c r="M152">
        <v>850</v>
      </c>
      <c r="N152">
        <f>IF(M152="",0,M152)</f>
        <v>850</v>
      </c>
      <c r="O152" t="str">
        <f>IF(L152&lt;0,"NEGATIVE QUANTITY","")</f>
        <v/>
      </c>
      <c r="P152">
        <f t="shared" si="12"/>
        <v>1</v>
      </c>
      <c r="Q152">
        <f>VLOOKUP(H152,'Product Cost Lookup'!A:D,4,FALSE)</f>
        <v>550</v>
      </c>
      <c r="R152" t="str">
        <f>VLOOKUP(H152,'Product Cost Lookup'!A:D,3,FALSE)</f>
        <v>Kitchenware</v>
      </c>
      <c r="S152">
        <f t="shared" si="13"/>
        <v>850</v>
      </c>
      <c r="T152">
        <f t="shared" si="14"/>
        <v>550</v>
      </c>
      <c r="U152">
        <f t="shared" si="15"/>
        <v>300</v>
      </c>
      <c r="V152" s="3">
        <f t="shared" si="16"/>
        <v>0.35294117647058826</v>
      </c>
      <c r="W152" t="str">
        <f t="shared" si="17"/>
        <v>Jan</v>
      </c>
    </row>
    <row r="153" spans="1:23">
      <c r="A153">
        <v>10244</v>
      </c>
      <c r="B153" s="1">
        <v>45474</v>
      </c>
      <c r="C153">
        <v>45474</v>
      </c>
      <c r="D153" t="s">
        <v>40</v>
      </c>
      <c r="E153" t="str">
        <f>IF(TRIM(D153)="","Unknown",PROPER(TRIM(D153)))</f>
        <v>Thika</v>
      </c>
      <c r="F153" t="s">
        <v>16</v>
      </c>
      <c r="G153" t="str">
        <f>PROPER(TRIM(F153))</f>
        <v>Grace Achieng</v>
      </c>
      <c r="H153" t="s">
        <v>65</v>
      </c>
      <c r="I153" t="s">
        <v>73</v>
      </c>
      <c r="J153" t="str">
        <f>PROPER(TRIM(I153))</f>
        <v>Mosquito Net - Family Size</v>
      </c>
      <c r="K153">
        <v>10</v>
      </c>
      <c r="L153">
        <f>IF(K153="",0,K153)</f>
        <v>10</v>
      </c>
      <c r="M153">
        <v>700</v>
      </c>
      <c r="N153">
        <f>IF(M153="",0,M153)</f>
        <v>700</v>
      </c>
      <c r="O153" t="str">
        <f>IF(L153&lt;0,"NEGATIVE QUANTITY","")</f>
        <v/>
      </c>
      <c r="P153">
        <f t="shared" si="12"/>
        <v>10</v>
      </c>
      <c r="Q153">
        <f>VLOOKUP(H153,'Product Cost Lookup'!A:D,4,FALSE)</f>
        <v>400</v>
      </c>
      <c r="R153" t="str">
        <f>VLOOKUP(H153,'Product Cost Lookup'!A:D,3,FALSE)</f>
        <v>Household</v>
      </c>
      <c r="S153">
        <f t="shared" si="13"/>
        <v>7000</v>
      </c>
      <c r="T153">
        <f t="shared" si="14"/>
        <v>4000</v>
      </c>
      <c r="U153">
        <f t="shared" si="15"/>
        <v>3000</v>
      </c>
      <c r="V153" s="3">
        <f t="shared" si="16"/>
        <v>0.42857142857142855</v>
      </c>
      <c r="W153" t="str">
        <f t="shared" si="17"/>
        <v>Jul</v>
      </c>
    </row>
    <row r="154" spans="1:23">
      <c r="A154">
        <v>10013</v>
      </c>
      <c r="B154" s="1">
        <v>45292</v>
      </c>
      <c r="C154">
        <v>45292</v>
      </c>
      <c r="D154" t="s">
        <v>74</v>
      </c>
      <c r="E154" t="str">
        <f>IF(TRIM(D154)="","Unknown",PROPER(TRIM(D154)))</f>
        <v>Nairobi</v>
      </c>
      <c r="F154" t="s">
        <v>146</v>
      </c>
      <c r="G154" t="str">
        <f>PROPER(TRIM(F154))</f>
        <v>John Mwangi</v>
      </c>
      <c r="H154" t="s">
        <v>77</v>
      </c>
      <c r="I154" t="s">
        <v>78</v>
      </c>
      <c r="J154" t="str">
        <f>PROPER(TRIM(I154))</f>
        <v>Cooking Gas Burner Cb-2</v>
      </c>
      <c r="K154">
        <v>2</v>
      </c>
      <c r="L154">
        <f>IF(K154="",0,K154)</f>
        <v>2</v>
      </c>
      <c r="M154">
        <v>1800</v>
      </c>
      <c r="N154">
        <f>IF(M154="",0,M154)</f>
        <v>1800</v>
      </c>
      <c r="O154" t="str">
        <f>IF(L154&lt;0,"NEGATIVE QUANTITY","")</f>
        <v/>
      </c>
      <c r="P154">
        <f t="shared" si="12"/>
        <v>2</v>
      </c>
      <c r="Q154">
        <f>VLOOKUP(H154,'Product Cost Lookup'!A:D,4,FALSE)</f>
        <v>1200</v>
      </c>
      <c r="R154" t="str">
        <f>VLOOKUP(H154,'Product Cost Lookup'!A:D,3,FALSE)</f>
        <v>Kitchenware</v>
      </c>
      <c r="S154">
        <f t="shared" si="13"/>
        <v>3600</v>
      </c>
      <c r="T154">
        <f t="shared" si="14"/>
        <v>2400</v>
      </c>
      <c r="U154">
        <f t="shared" si="15"/>
        <v>1200</v>
      </c>
      <c r="V154" s="3">
        <f t="shared" si="16"/>
        <v>0.33333333333333331</v>
      </c>
      <c r="W154" t="str">
        <f t="shared" si="17"/>
        <v>Jan</v>
      </c>
    </row>
    <row r="155" spans="1:23">
      <c r="A155">
        <v>10250</v>
      </c>
      <c r="B155" s="1">
        <v>45315</v>
      </c>
      <c r="C155">
        <v>45315</v>
      </c>
      <c r="D155" t="s">
        <v>19</v>
      </c>
      <c r="E155" t="str">
        <f>IF(TRIM(D155)="","Unknown",PROPER(TRIM(D155)))</f>
        <v>Eldoret</v>
      </c>
      <c r="F155" t="s">
        <v>48</v>
      </c>
      <c r="G155" t="str">
        <f>PROPER(TRIM(F155))</f>
        <v>Brian Mutua</v>
      </c>
      <c r="H155" t="s">
        <v>10</v>
      </c>
      <c r="I155" t="s">
        <v>147</v>
      </c>
      <c r="J155" t="str">
        <f>PROPER(TRIM(I155))</f>
        <v>Kitchen Knife Set</v>
      </c>
      <c r="L155">
        <f>IF(K155="",0,K155)</f>
        <v>0</v>
      </c>
      <c r="M155">
        <v>1400</v>
      </c>
      <c r="N155">
        <f>IF(M155="",0,M155)</f>
        <v>1400</v>
      </c>
      <c r="O155" t="str">
        <f>IF(L155&lt;0,"NEGATIVE QUANTITY","")</f>
        <v/>
      </c>
      <c r="P155">
        <f t="shared" si="12"/>
        <v>0</v>
      </c>
      <c r="Q155">
        <f>VLOOKUP(H155,'Product Cost Lookup'!A:D,4,FALSE)</f>
        <v>800</v>
      </c>
      <c r="R155" t="str">
        <f>VLOOKUP(H155,'Product Cost Lookup'!A:D,3,FALSE)</f>
        <v>Kitchenware</v>
      </c>
      <c r="S155">
        <f t="shared" si="13"/>
        <v>0</v>
      </c>
      <c r="T155">
        <f t="shared" si="14"/>
        <v>0</v>
      </c>
      <c r="U155">
        <f t="shared" si="15"/>
        <v>0</v>
      </c>
      <c r="V155" s="3">
        <f t="shared" si="16"/>
        <v>0</v>
      </c>
      <c r="W155" t="str">
        <f t="shared" si="17"/>
        <v>Jan</v>
      </c>
    </row>
    <row r="156" spans="1:23">
      <c r="A156">
        <v>10258</v>
      </c>
      <c r="B156" s="1">
        <v>45378</v>
      </c>
      <c r="C156">
        <v>45378</v>
      </c>
      <c r="D156" t="s">
        <v>145</v>
      </c>
      <c r="E156" t="str">
        <f>IF(TRIM(D156)="","Unknown",PROPER(TRIM(D156)))</f>
        <v>Eldoret</v>
      </c>
      <c r="F156" t="s">
        <v>16</v>
      </c>
      <c r="G156" t="str">
        <f>PROPER(TRIM(F156))</f>
        <v>Grace Achieng</v>
      </c>
      <c r="H156" t="s">
        <v>10</v>
      </c>
      <c r="I156" t="s">
        <v>11</v>
      </c>
      <c r="J156" t="str">
        <f>PROPER(TRIM(I156))</f>
        <v>Kitchen Knife Set</v>
      </c>
      <c r="K156">
        <v>10</v>
      </c>
      <c r="L156">
        <f>IF(K156="",0,K156)</f>
        <v>10</v>
      </c>
      <c r="M156">
        <v>1350</v>
      </c>
      <c r="N156">
        <f>IF(M156="",0,M156)</f>
        <v>1350</v>
      </c>
      <c r="O156" t="str">
        <f>IF(L156&lt;0,"NEGATIVE QUANTITY","")</f>
        <v/>
      </c>
      <c r="P156">
        <f t="shared" si="12"/>
        <v>10</v>
      </c>
      <c r="Q156">
        <f>VLOOKUP(H156,'Product Cost Lookup'!A:D,4,FALSE)</f>
        <v>800</v>
      </c>
      <c r="R156" t="str">
        <f>VLOOKUP(H156,'Product Cost Lookup'!A:D,3,FALSE)</f>
        <v>Kitchenware</v>
      </c>
      <c r="S156">
        <f t="shared" si="13"/>
        <v>13500</v>
      </c>
      <c r="T156">
        <f t="shared" si="14"/>
        <v>8000</v>
      </c>
      <c r="U156">
        <f t="shared" si="15"/>
        <v>5500</v>
      </c>
      <c r="V156" s="3">
        <f t="shared" si="16"/>
        <v>0.40740740740740738</v>
      </c>
      <c r="W156" t="str">
        <f t="shared" si="17"/>
        <v>Mar</v>
      </c>
    </row>
    <row r="157" spans="1:23">
      <c r="A157">
        <v>10143</v>
      </c>
      <c r="B157" s="2">
        <v>45307</v>
      </c>
      <c r="C157">
        <v>45307</v>
      </c>
      <c r="D157" t="s">
        <v>15</v>
      </c>
      <c r="E157" t="str">
        <f>IF(TRIM(D157)="","Unknown",PROPER(TRIM(D157)))</f>
        <v>Mombasa</v>
      </c>
      <c r="F157" t="s">
        <v>48</v>
      </c>
      <c r="G157" t="str">
        <f>PROPER(TRIM(F157))</f>
        <v>Brian Mutua</v>
      </c>
      <c r="H157" t="s">
        <v>111</v>
      </c>
      <c r="I157" t="s">
        <v>112</v>
      </c>
      <c r="J157" t="str">
        <f>PROPER(TRIM(I157))</f>
        <v>Thermos Flask 1L</v>
      </c>
      <c r="K157">
        <v>3</v>
      </c>
      <c r="L157">
        <f>IF(K157="",0,K157)</f>
        <v>3</v>
      </c>
      <c r="M157">
        <v>900</v>
      </c>
      <c r="N157">
        <f>IF(M157="",0,M157)</f>
        <v>900</v>
      </c>
      <c r="O157" t="str">
        <f>IF(L157&lt;0,"NEGATIVE QUANTITY","")</f>
        <v/>
      </c>
      <c r="P157">
        <f t="shared" si="12"/>
        <v>3</v>
      </c>
      <c r="Q157">
        <f>VLOOKUP(H157,'Product Cost Lookup'!A:D,4,FALSE)</f>
        <v>550</v>
      </c>
      <c r="R157" t="str">
        <f>VLOOKUP(H157,'Product Cost Lookup'!A:D,3,FALSE)</f>
        <v>Kitchenware</v>
      </c>
      <c r="S157">
        <f t="shared" si="13"/>
        <v>2700</v>
      </c>
      <c r="T157">
        <f t="shared" si="14"/>
        <v>1650</v>
      </c>
      <c r="U157">
        <f t="shared" si="15"/>
        <v>1050</v>
      </c>
      <c r="V157" s="3">
        <f t="shared" si="16"/>
        <v>0.3888888888888889</v>
      </c>
      <c r="W157" t="str">
        <f t="shared" si="17"/>
        <v>Jan</v>
      </c>
    </row>
    <row r="158" spans="1:23">
      <c r="A158">
        <v>10166</v>
      </c>
      <c r="B158" s="1">
        <v>45333</v>
      </c>
      <c r="C158">
        <v>45333</v>
      </c>
      <c r="D158" t="s">
        <v>41</v>
      </c>
      <c r="E158" t="str">
        <f>IF(TRIM(D158)="","Unknown",PROPER(TRIM(D158)))</f>
        <v>Nakuru</v>
      </c>
      <c r="F158" t="s">
        <v>46</v>
      </c>
      <c r="G158" t="str">
        <f>PROPER(TRIM(F158))</f>
        <v>Samuel Kiptoo</v>
      </c>
      <c r="H158" t="s">
        <v>55</v>
      </c>
      <c r="I158" t="s">
        <v>56</v>
      </c>
      <c r="J158" t="str">
        <f>PROPER(TRIM(I158))</f>
        <v>Led Bulb 9W (Pack Of 4)</v>
      </c>
      <c r="K158">
        <v>8</v>
      </c>
      <c r="L158">
        <f>IF(K158="",0,K158)</f>
        <v>8</v>
      </c>
      <c r="M158">
        <v>780</v>
      </c>
      <c r="N158">
        <f>IF(M158="",0,M158)</f>
        <v>780</v>
      </c>
      <c r="O158" t="str">
        <f>IF(L158&lt;0,"NEGATIVE QUANTITY","")</f>
        <v/>
      </c>
      <c r="P158">
        <f t="shared" si="12"/>
        <v>8</v>
      </c>
      <c r="Q158">
        <f>VLOOKUP(H158,'Product Cost Lookup'!A:D,4,FALSE)</f>
        <v>480</v>
      </c>
      <c r="R158" t="str">
        <f>VLOOKUP(H158,'Product Cost Lookup'!A:D,3,FALSE)</f>
        <v>Electronics</v>
      </c>
      <c r="S158">
        <f t="shared" si="13"/>
        <v>6240</v>
      </c>
      <c r="T158">
        <f t="shared" si="14"/>
        <v>3840</v>
      </c>
      <c r="U158">
        <f t="shared" si="15"/>
        <v>2400</v>
      </c>
      <c r="V158" s="3">
        <f t="shared" si="16"/>
        <v>0.38461538461538464</v>
      </c>
      <c r="W158" t="str">
        <f t="shared" si="17"/>
        <v>Feb</v>
      </c>
    </row>
    <row r="159" spans="1:23">
      <c r="A159">
        <v>10321</v>
      </c>
      <c r="B159" s="1">
        <v>45333</v>
      </c>
      <c r="C159">
        <v>45333</v>
      </c>
      <c r="D159" t="s">
        <v>15</v>
      </c>
      <c r="E159" t="str">
        <f>IF(TRIM(D159)="","Unknown",PROPER(TRIM(D159)))</f>
        <v>Mombasa</v>
      </c>
      <c r="F159" t="s">
        <v>62</v>
      </c>
      <c r="G159" t="str">
        <f>PROPER(TRIM(F159))</f>
        <v>John Mwangi</v>
      </c>
      <c r="H159" t="s">
        <v>30</v>
      </c>
      <c r="I159" t="s">
        <v>140</v>
      </c>
      <c r="J159" t="str">
        <f>PROPER(TRIM(I159))</f>
        <v>Garden Hose 20M</v>
      </c>
      <c r="K159">
        <v>12</v>
      </c>
      <c r="L159">
        <f>IF(K159="",0,K159)</f>
        <v>12</v>
      </c>
      <c r="M159">
        <v>1800</v>
      </c>
      <c r="N159">
        <f>IF(M159="",0,M159)</f>
        <v>1800</v>
      </c>
      <c r="O159" t="str">
        <f>IF(L159&lt;0,"NEGATIVE QUANTITY","")</f>
        <v/>
      </c>
      <c r="P159">
        <f t="shared" si="12"/>
        <v>12</v>
      </c>
      <c r="Q159">
        <f>VLOOKUP(H159,'Product Cost Lookup'!A:D,4,FALSE)</f>
        <v>1100</v>
      </c>
      <c r="R159" t="str">
        <f>VLOOKUP(H159,'Product Cost Lookup'!A:D,3,FALSE)</f>
        <v>Hardware</v>
      </c>
      <c r="S159">
        <f t="shared" si="13"/>
        <v>21600</v>
      </c>
      <c r="T159">
        <f t="shared" si="14"/>
        <v>13200</v>
      </c>
      <c r="U159">
        <f t="shared" si="15"/>
        <v>8400</v>
      </c>
      <c r="V159" s="3">
        <f t="shared" si="16"/>
        <v>0.3888888888888889</v>
      </c>
      <c r="W159" t="str">
        <f t="shared" si="17"/>
        <v>Feb</v>
      </c>
    </row>
    <row r="160" spans="1:23">
      <c r="A160">
        <v>10174</v>
      </c>
      <c r="B160" s="1">
        <v>45377</v>
      </c>
      <c r="C160">
        <v>45377</v>
      </c>
      <c r="D160" t="s">
        <v>63</v>
      </c>
      <c r="E160" t="str">
        <f>IF(TRIM(D160)="","Unknown",PROPER(TRIM(D160)))</f>
        <v>Nakuru</v>
      </c>
      <c r="F160" t="s">
        <v>24</v>
      </c>
      <c r="G160" t="str">
        <f>PROPER(TRIM(F160))</f>
        <v>Mercy Njeri</v>
      </c>
      <c r="H160" t="s">
        <v>90</v>
      </c>
      <c r="I160" t="s">
        <v>144</v>
      </c>
      <c r="J160" t="str">
        <f>PROPER(TRIM(I160))</f>
        <v>Wheelbarrow - Heavy Duty</v>
      </c>
      <c r="K160">
        <v>8</v>
      </c>
      <c r="L160">
        <f>IF(K160="",0,K160)</f>
        <v>8</v>
      </c>
      <c r="M160">
        <v>5300</v>
      </c>
      <c r="N160">
        <f>IF(M160="",0,M160)</f>
        <v>5300</v>
      </c>
      <c r="O160" t="str">
        <f>IF(L160&lt;0,"NEGATIVE QUANTITY","")</f>
        <v/>
      </c>
      <c r="P160">
        <f t="shared" si="12"/>
        <v>8</v>
      </c>
      <c r="Q160">
        <f>VLOOKUP(H160,'Product Cost Lookup'!A:D,4,FALSE)</f>
        <v>3500</v>
      </c>
      <c r="R160" t="str">
        <f>VLOOKUP(H160,'Product Cost Lookup'!A:D,3,FALSE)</f>
        <v>Hardware</v>
      </c>
      <c r="S160">
        <f t="shared" si="13"/>
        <v>42400</v>
      </c>
      <c r="T160">
        <f t="shared" si="14"/>
        <v>28000</v>
      </c>
      <c r="U160">
        <f t="shared" si="15"/>
        <v>14400</v>
      </c>
      <c r="V160" s="3">
        <f t="shared" si="16"/>
        <v>0.33962264150943394</v>
      </c>
      <c r="W160" t="str">
        <f t="shared" si="17"/>
        <v>Mar</v>
      </c>
    </row>
    <row r="161" spans="1:23">
      <c r="A161">
        <v>10063</v>
      </c>
      <c r="B161" t="s">
        <v>117</v>
      </c>
      <c r="C161">
        <v>45311</v>
      </c>
      <c r="D161" t="s">
        <v>74</v>
      </c>
      <c r="E161" t="str">
        <f>IF(TRIM(D161)="","Unknown",PROPER(TRIM(D161)))</f>
        <v>Nairobi</v>
      </c>
      <c r="F161" t="s">
        <v>27</v>
      </c>
      <c r="G161" t="str">
        <f>PROPER(TRIM(F161))</f>
        <v>Aisha Hassan</v>
      </c>
      <c r="H161" t="s">
        <v>10</v>
      </c>
      <c r="I161" t="s">
        <v>11</v>
      </c>
      <c r="J161" t="str">
        <f>PROPER(TRIM(I161))</f>
        <v>Kitchen Knife Set</v>
      </c>
      <c r="K161">
        <v>5</v>
      </c>
      <c r="L161">
        <f>IF(K161="",0,K161)</f>
        <v>5</v>
      </c>
      <c r="M161">
        <v>1300</v>
      </c>
      <c r="N161">
        <f>IF(M161="",0,M161)</f>
        <v>1300</v>
      </c>
      <c r="O161" t="str">
        <f>IF(L161&lt;0,"NEGATIVE QUANTITY","")</f>
        <v/>
      </c>
      <c r="P161">
        <f t="shared" si="12"/>
        <v>5</v>
      </c>
      <c r="Q161">
        <f>VLOOKUP(H161,'Product Cost Lookup'!A:D,4,FALSE)</f>
        <v>800</v>
      </c>
      <c r="R161" t="str">
        <f>VLOOKUP(H161,'Product Cost Lookup'!A:D,3,FALSE)</f>
        <v>Kitchenware</v>
      </c>
      <c r="S161">
        <f t="shared" si="13"/>
        <v>6500</v>
      </c>
      <c r="T161">
        <f t="shared" si="14"/>
        <v>4000</v>
      </c>
      <c r="U161">
        <f t="shared" si="15"/>
        <v>2500</v>
      </c>
      <c r="V161" s="3">
        <f t="shared" si="16"/>
        <v>0.38461538461538464</v>
      </c>
      <c r="W161" t="str">
        <f t="shared" si="17"/>
        <v>Jan</v>
      </c>
    </row>
    <row r="162" spans="1:23">
      <c r="A162">
        <v>10305</v>
      </c>
      <c r="B162" s="1">
        <v>45332</v>
      </c>
      <c r="C162">
        <v>45332</v>
      </c>
      <c r="D162" t="s">
        <v>40</v>
      </c>
      <c r="E162" t="str">
        <f>IF(TRIM(D162)="","Unknown",PROPER(TRIM(D162)))</f>
        <v>Thika</v>
      </c>
      <c r="F162" t="s">
        <v>149</v>
      </c>
      <c r="G162" t="str">
        <f>PROPER(TRIM(F162))</f>
        <v>John Mwangi</v>
      </c>
      <c r="H162" t="s">
        <v>17</v>
      </c>
      <c r="I162" t="s">
        <v>18</v>
      </c>
      <c r="J162" t="str">
        <f>PROPER(TRIM(I162))</f>
        <v>20L Jerrycan - Blue</v>
      </c>
      <c r="K162">
        <v>20</v>
      </c>
      <c r="L162">
        <f>IF(K162="",0,K162)</f>
        <v>20</v>
      </c>
      <c r="M162">
        <v>550</v>
      </c>
      <c r="N162">
        <f>IF(M162="",0,M162)</f>
        <v>550</v>
      </c>
      <c r="O162" t="str">
        <f>IF(L162&lt;0,"NEGATIVE QUANTITY","")</f>
        <v/>
      </c>
      <c r="P162">
        <f t="shared" si="12"/>
        <v>20</v>
      </c>
      <c r="Q162">
        <f>VLOOKUP(H162,'Product Cost Lookup'!A:D,4,FALSE)</f>
        <v>350</v>
      </c>
      <c r="R162" t="str">
        <f>VLOOKUP(H162,'Product Cost Lookup'!A:D,3,FALSE)</f>
        <v>Household</v>
      </c>
      <c r="S162">
        <f t="shared" si="13"/>
        <v>11000</v>
      </c>
      <c r="T162">
        <f t="shared" si="14"/>
        <v>7000</v>
      </c>
      <c r="U162">
        <f t="shared" si="15"/>
        <v>4000</v>
      </c>
      <c r="V162" s="3">
        <f t="shared" si="16"/>
        <v>0.36363636363636365</v>
      </c>
      <c r="W162" t="str">
        <f t="shared" si="17"/>
        <v>Feb</v>
      </c>
    </row>
    <row r="163" spans="1:23">
      <c r="A163">
        <v>10286</v>
      </c>
      <c r="B163" t="s">
        <v>150</v>
      </c>
      <c r="C163">
        <v>45376</v>
      </c>
      <c r="E163" t="str">
        <f>IF(TRIM(D163)="","Unknown",PROPER(TRIM(D163)))</f>
        <v>Unknown</v>
      </c>
      <c r="F163" t="s">
        <v>49</v>
      </c>
      <c r="G163" t="str">
        <f>PROPER(TRIM(F163))</f>
        <v>Brian Mutua</v>
      </c>
      <c r="H163" t="s">
        <v>10</v>
      </c>
      <c r="I163" t="s">
        <v>11</v>
      </c>
      <c r="J163" t="str">
        <f>PROPER(TRIM(I163))</f>
        <v>Kitchen Knife Set</v>
      </c>
      <c r="K163">
        <v>6</v>
      </c>
      <c r="L163">
        <f>IF(K163="",0,K163)</f>
        <v>6</v>
      </c>
      <c r="M163">
        <v>1250</v>
      </c>
      <c r="N163">
        <f>IF(M163="",0,M163)</f>
        <v>1250</v>
      </c>
      <c r="O163" t="str">
        <f>IF(L163&lt;0,"NEGATIVE QUANTITY","")</f>
        <v/>
      </c>
      <c r="P163">
        <f t="shared" si="12"/>
        <v>6</v>
      </c>
      <c r="Q163">
        <f>VLOOKUP(H163,'Product Cost Lookup'!A:D,4,FALSE)</f>
        <v>800</v>
      </c>
      <c r="R163" t="str">
        <f>VLOOKUP(H163,'Product Cost Lookup'!A:D,3,FALSE)</f>
        <v>Kitchenware</v>
      </c>
      <c r="S163">
        <f t="shared" si="13"/>
        <v>7500</v>
      </c>
      <c r="T163">
        <f t="shared" si="14"/>
        <v>4800</v>
      </c>
      <c r="U163">
        <f t="shared" si="15"/>
        <v>2700</v>
      </c>
      <c r="V163" s="3">
        <f t="shared" si="16"/>
        <v>0.36</v>
      </c>
      <c r="W163" t="str">
        <f t="shared" si="17"/>
        <v>Mar</v>
      </c>
    </row>
    <row r="164" spans="1:23">
      <c r="A164">
        <v>10294</v>
      </c>
      <c r="B164" s="2">
        <v>45365</v>
      </c>
      <c r="C164">
        <v>45365</v>
      </c>
      <c r="D164" t="s">
        <v>23</v>
      </c>
      <c r="E164" t="str">
        <f>IF(TRIM(D164)="","Unknown",PROPER(TRIM(D164)))</f>
        <v>Kisumu</v>
      </c>
      <c r="F164" t="s">
        <v>48</v>
      </c>
      <c r="G164" t="str">
        <f>PROPER(TRIM(F164))</f>
        <v>Brian Mutua</v>
      </c>
      <c r="H164" t="s">
        <v>30</v>
      </c>
      <c r="I164" t="s">
        <v>31</v>
      </c>
      <c r="J164" t="str">
        <f>PROPER(TRIM(I164))</f>
        <v>Garden Hose 20M</v>
      </c>
      <c r="K164">
        <v>3</v>
      </c>
      <c r="L164">
        <f>IF(K164="",0,K164)</f>
        <v>3</v>
      </c>
      <c r="M164">
        <v>1650</v>
      </c>
      <c r="N164">
        <f>IF(M164="",0,M164)</f>
        <v>1650</v>
      </c>
      <c r="O164" t="str">
        <f>IF(L164&lt;0,"NEGATIVE QUANTITY","")</f>
        <v/>
      </c>
      <c r="P164">
        <f t="shared" si="12"/>
        <v>3</v>
      </c>
      <c r="Q164">
        <f>VLOOKUP(H164,'Product Cost Lookup'!A:D,4,FALSE)</f>
        <v>1100</v>
      </c>
      <c r="R164" t="str">
        <f>VLOOKUP(H164,'Product Cost Lookup'!A:D,3,FALSE)</f>
        <v>Hardware</v>
      </c>
      <c r="S164">
        <f t="shared" si="13"/>
        <v>4950</v>
      </c>
      <c r="T164">
        <f t="shared" si="14"/>
        <v>3300</v>
      </c>
      <c r="U164">
        <f t="shared" si="15"/>
        <v>1650</v>
      </c>
      <c r="V164" s="3">
        <f t="shared" si="16"/>
        <v>0.33333333333333331</v>
      </c>
      <c r="W164" t="str">
        <f t="shared" si="17"/>
        <v>Mar</v>
      </c>
    </row>
    <row r="165" spans="1:23">
      <c r="A165">
        <v>10243</v>
      </c>
      <c r="B165" s="1">
        <v>45415</v>
      </c>
      <c r="C165">
        <v>45415</v>
      </c>
      <c r="D165" t="s">
        <v>15</v>
      </c>
      <c r="E165" t="str">
        <f>IF(TRIM(D165)="","Unknown",PROPER(TRIM(D165)))</f>
        <v>Mombasa</v>
      </c>
      <c r="F165" t="s">
        <v>16</v>
      </c>
      <c r="G165" t="str">
        <f>PROPER(TRIM(F165))</f>
        <v>Grace Achieng</v>
      </c>
      <c r="H165" t="s">
        <v>25</v>
      </c>
      <c r="I165" t="s">
        <v>26</v>
      </c>
      <c r="J165" t="str">
        <f>PROPER(TRIM(I165))</f>
        <v>Plastic Storage Basket L</v>
      </c>
      <c r="K165">
        <v>20</v>
      </c>
      <c r="L165">
        <f>IF(K165="",0,K165)</f>
        <v>20</v>
      </c>
      <c r="M165">
        <v>370</v>
      </c>
      <c r="N165">
        <f>IF(M165="",0,M165)</f>
        <v>370</v>
      </c>
      <c r="O165" t="str">
        <f>IF(L165&lt;0,"NEGATIVE QUANTITY","")</f>
        <v/>
      </c>
      <c r="P165">
        <f t="shared" si="12"/>
        <v>20</v>
      </c>
      <c r="Q165">
        <f>VLOOKUP(H165,'Product Cost Lookup'!A:D,4,FALSE)</f>
        <v>250</v>
      </c>
      <c r="R165" t="str">
        <f>VLOOKUP(H165,'Product Cost Lookup'!A:D,3,FALSE)</f>
        <v>Household</v>
      </c>
      <c r="S165">
        <f t="shared" si="13"/>
        <v>7400</v>
      </c>
      <c r="T165">
        <f t="shared" si="14"/>
        <v>5000</v>
      </c>
      <c r="U165">
        <f t="shared" si="15"/>
        <v>2400</v>
      </c>
      <c r="V165" s="3">
        <f t="shared" si="16"/>
        <v>0.32432432432432434</v>
      </c>
      <c r="W165" t="str">
        <f t="shared" si="17"/>
        <v>May</v>
      </c>
    </row>
    <row r="166" spans="1:23">
      <c r="A166">
        <v>10134</v>
      </c>
      <c r="B166" s="1">
        <v>45314</v>
      </c>
      <c r="C166">
        <v>45314</v>
      </c>
      <c r="E166" t="str">
        <f>IF(TRIM(D166)="","Unknown",PROPER(TRIM(D166)))</f>
        <v>Unknown</v>
      </c>
      <c r="F166" t="s">
        <v>48</v>
      </c>
      <c r="G166" t="str">
        <f>PROPER(TRIM(F166))</f>
        <v>Brian Mutua</v>
      </c>
      <c r="H166" t="s">
        <v>10</v>
      </c>
      <c r="I166" t="s">
        <v>11</v>
      </c>
      <c r="J166" t="str">
        <f>PROPER(TRIM(I166))</f>
        <v>Kitchen Knife Set</v>
      </c>
      <c r="K166">
        <v>10</v>
      </c>
      <c r="L166">
        <f>IF(K166="",0,K166)</f>
        <v>10</v>
      </c>
      <c r="M166">
        <v>1300</v>
      </c>
      <c r="N166">
        <f>IF(M166="",0,M166)</f>
        <v>1300</v>
      </c>
      <c r="O166" t="str">
        <f>IF(L166&lt;0,"NEGATIVE QUANTITY","")</f>
        <v/>
      </c>
      <c r="P166">
        <f t="shared" si="12"/>
        <v>10</v>
      </c>
      <c r="Q166">
        <f>VLOOKUP(H166,'Product Cost Lookup'!A:D,4,FALSE)</f>
        <v>800</v>
      </c>
      <c r="R166" t="str">
        <f>VLOOKUP(H166,'Product Cost Lookup'!A:D,3,FALSE)</f>
        <v>Kitchenware</v>
      </c>
      <c r="S166">
        <f t="shared" si="13"/>
        <v>13000</v>
      </c>
      <c r="T166">
        <f t="shared" si="14"/>
        <v>8000</v>
      </c>
      <c r="U166">
        <f t="shared" si="15"/>
        <v>5000</v>
      </c>
      <c r="V166" s="3">
        <f t="shared" si="16"/>
        <v>0.38461538461538464</v>
      </c>
      <c r="W166" t="str">
        <f t="shared" si="17"/>
        <v>Jan</v>
      </c>
    </row>
    <row r="167" spans="1:23">
      <c r="A167">
        <v>10308</v>
      </c>
      <c r="B167" s="1">
        <v>45363</v>
      </c>
      <c r="C167">
        <v>45363</v>
      </c>
      <c r="D167" t="s">
        <v>19</v>
      </c>
      <c r="E167" t="str">
        <f>IF(TRIM(D167)="","Unknown",PROPER(TRIM(D167)))</f>
        <v>Eldoret</v>
      </c>
      <c r="F167" t="s">
        <v>149</v>
      </c>
      <c r="G167" t="str">
        <f>PROPER(TRIM(F167))</f>
        <v>John Mwangi</v>
      </c>
      <c r="H167" t="s">
        <v>65</v>
      </c>
      <c r="I167" t="s">
        <v>73</v>
      </c>
      <c r="J167" t="str">
        <f>PROPER(TRIM(I167))</f>
        <v>Mosquito Net - Family Size</v>
      </c>
      <c r="K167">
        <v>2</v>
      </c>
      <c r="L167">
        <f>IF(K167="",0,K167)</f>
        <v>2</v>
      </c>
      <c r="M167">
        <v>650</v>
      </c>
      <c r="N167">
        <f>IF(M167="",0,M167)</f>
        <v>650</v>
      </c>
      <c r="O167" t="str">
        <f>IF(L167&lt;0,"NEGATIVE QUANTITY","")</f>
        <v/>
      </c>
      <c r="P167">
        <f t="shared" si="12"/>
        <v>2</v>
      </c>
      <c r="Q167">
        <f>VLOOKUP(H167,'Product Cost Lookup'!A:D,4,FALSE)</f>
        <v>400</v>
      </c>
      <c r="R167" t="str">
        <f>VLOOKUP(H167,'Product Cost Lookup'!A:D,3,FALSE)</f>
        <v>Household</v>
      </c>
      <c r="S167">
        <f t="shared" si="13"/>
        <v>1300</v>
      </c>
      <c r="T167">
        <f t="shared" si="14"/>
        <v>800</v>
      </c>
      <c r="U167">
        <f t="shared" si="15"/>
        <v>500</v>
      </c>
      <c r="V167" s="3">
        <f t="shared" si="16"/>
        <v>0.38461538461538464</v>
      </c>
      <c r="W167" t="str">
        <f t="shared" si="17"/>
        <v>Mar</v>
      </c>
    </row>
    <row r="168" spans="1:23">
      <c r="A168">
        <v>10165</v>
      </c>
      <c r="B168" t="s">
        <v>131</v>
      </c>
      <c r="C168">
        <v>45368</v>
      </c>
      <c r="D168" t="s">
        <v>15</v>
      </c>
      <c r="E168" t="str">
        <f>IF(TRIM(D168)="","Unknown",PROPER(TRIM(D168)))</f>
        <v>Mombasa</v>
      </c>
      <c r="F168" t="s">
        <v>46</v>
      </c>
      <c r="G168" t="str">
        <f>PROPER(TRIM(F168))</f>
        <v>Samuel Kiptoo</v>
      </c>
      <c r="H168" t="s">
        <v>25</v>
      </c>
      <c r="I168" t="s">
        <v>26</v>
      </c>
      <c r="J168" t="str">
        <f>PROPER(TRIM(I168))</f>
        <v>Plastic Storage Basket L</v>
      </c>
      <c r="K168">
        <v>15</v>
      </c>
      <c r="L168">
        <f>IF(K168="",0,K168)</f>
        <v>15</v>
      </c>
      <c r="M168">
        <v>420</v>
      </c>
      <c r="N168">
        <f>IF(M168="",0,M168)</f>
        <v>420</v>
      </c>
      <c r="O168" t="str">
        <f>IF(L168&lt;0,"NEGATIVE QUANTITY","")</f>
        <v/>
      </c>
      <c r="P168">
        <f t="shared" si="12"/>
        <v>15</v>
      </c>
      <c r="Q168">
        <f>VLOOKUP(H168,'Product Cost Lookup'!A:D,4,FALSE)</f>
        <v>250</v>
      </c>
      <c r="R168" t="str">
        <f>VLOOKUP(H168,'Product Cost Lookup'!A:D,3,FALSE)</f>
        <v>Household</v>
      </c>
      <c r="S168">
        <f t="shared" si="13"/>
        <v>6300</v>
      </c>
      <c r="T168">
        <f t="shared" si="14"/>
        <v>3750</v>
      </c>
      <c r="U168">
        <f t="shared" si="15"/>
        <v>2550</v>
      </c>
      <c r="V168" s="3">
        <f t="shared" si="16"/>
        <v>0.40476190476190477</v>
      </c>
      <c r="W168" t="str">
        <f t="shared" si="17"/>
        <v>Mar</v>
      </c>
    </row>
    <row r="169" spans="1:23">
      <c r="A169">
        <v>10135</v>
      </c>
      <c r="B169" s="1">
        <v>45374</v>
      </c>
      <c r="C169">
        <v>45374</v>
      </c>
      <c r="D169" t="s">
        <v>59</v>
      </c>
      <c r="E169" t="str">
        <f>IF(TRIM(D169)="","Unknown",PROPER(TRIM(D169)))</f>
        <v>Eldoret</v>
      </c>
      <c r="F169" t="s">
        <v>81</v>
      </c>
      <c r="G169" t="str">
        <f>PROPER(TRIM(F169))</f>
        <v>Aisha Hassan</v>
      </c>
      <c r="H169" t="s">
        <v>21</v>
      </c>
      <c r="I169" t="s">
        <v>22</v>
      </c>
      <c r="J169" t="str">
        <f>PROPER(TRIM(I169))</f>
        <v>Water Dispenser Stand</v>
      </c>
      <c r="K169">
        <v>3</v>
      </c>
      <c r="L169">
        <f>IF(K169="",0,K169)</f>
        <v>3</v>
      </c>
      <c r="M169">
        <v>2400</v>
      </c>
      <c r="N169">
        <f>IF(M169="",0,M169)</f>
        <v>2400</v>
      </c>
      <c r="O169" t="str">
        <f>IF(L169&lt;0,"NEGATIVE QUANTITY","")</f>
        <v/>
      </c>
      <c r="P169">
        <f t="shared" si="12"/>
        <v>3</v>
      </c>
      <c r="Q169">
        <f>VLOOKUP(H169,'Product Cost Lookup'!A:D,4,FALSE)</f>
        <v>1500</v>
      </c>
      <c r="R169" t="str">
        <f>VLOOKUP(H169,'Product Cost Lookup'!A:D,3,FALSE)</f>
        <v>Household</v>
      </c>
      <c r="S169">
        <f t="shared" si="13"/>
        <v>7200</v>
      </c>
      <c r="T169">
        <f t="shared" si="14"/>
        <v>4500</v>
      </c>
      <c r="U169">
        <f t="shared" si="15"/>
        <v>2700</v>
      </c>
      <c r="V169" s="3">
        <f t="shared" si="16"/>
        <v>0.375</v>
      </c>
      <c r="W169" t="str">
        <f t="shared" si="17"/>
        <v>Mar</v>
      </c>
    </row>
    <row r="170" spans="1:23">
      <c r="A170">
        <v>10138</v>
      </c>
      <c r="B170" s="1">
        <v>45382</v>
      </c>
      <c r="C170">
        <v>45382</v>
      </c>
      <c r="D170" t="s">
        <v>35</v>
      </c>
      <c r="E170" t="str">
        <f>IF(TRIM(D170)="","Unknown",PROPER(TRIM(D170)))</f>
        <v>Kisumu</v>
      </c>
      <c r="F170" t="s">
        <v>139</v>
      </c>
      <c r="G170" t="str">
        <f>PROPER(TRIM(F170))</f>
        <v>Grace Achieng</v>
      </c>
      <c r="H170" t="s">
        <v>33</v>
      </c>
      <c r="I170" t="s">
        <v>60</v>
      </c>
      <c r="J170" t="str">
        <f>PROPER(TRIM(I170))</f>
        <v>Padlock Set (3Pc)</v>
      </c>
      <c r="K170">
        <v>5</v>
      </c>
      <c r="L170">
        <f>IF(K170="",0,K170)</f>
        <v>5</v>
      </c>
      <c r="M170">
        <v>700</v>
      </c>
      <c r="N170">
        <f>IF(M170="",0,M170)</f>
        <v>700</v>
      </c>
      <c r="O170" t="str">
        <f>IF(L170&lt;0,"NEGATIVE QUANTITY","")</f>
        <v/>
      </c>
      <c r="P170">
        <f t="shared" si="12"/>
        <v>5</v>
      </c>
      <c r="Q170">
        <f>VLOOKUP(H170,'Product Cost Lookup'!A:D,4,FALSE)</f>
        <v>450</v>
      </c>
      <c r="R170" t="str">
        <f>VLOOKUP(H170,'Product Cost Lookup'!A:D,3,FALSE)</f>
        <v>Hardware</v>
      </c>
      <c r="S170">
        <f t="shared" si="13"/>
        <v>3500</v>
      </c>
      <c r="T170">
        <f t="shared" si="14"/>
        <v>2250</v>
      </c>
      <c r="U170">
        <f t="shared" si="15"/>
        <v>1250</v>
      </c>
      <c r="V170" s="3">
        <f t="shared" si="16"/>
        <v>0.35714285714285715</v>
      </c>
      <c r="W170" t="str">
        <f t="shared" si="17"/>
        <v>Mar</v>
      </c>
    </row>
    <row r="171" spans="1:23">
      <c r="A171">
        <v>10231</v>
      </c>
      <c r="B171" s="1">
        <v>45352</v>
      </c>
      <c r="C171">
        <v>45352</v>
      </c>
      <c r="D171" t="s">
        <v>79</v>
      </c>
      <c r="E171" t="str">
        <f>IF(TRIM(D171)="","Unknown",PROPER(TRIM(D171)))</f>
        <v>Eldoret</v>
      </c>
      <c r="F171" t="s">
        <v>24</v>
      </c>
      <c r="G171" t="str">
        <f>PROPER(TRIM(F171))</f>
        <v>Mercy Njeri</v>
      </c>
      <c r="H171" t="s">
        <v>25</v>
      </c>
      <c r="I171" t="s">
        <v>26</v>
      </c>
      <c r="J171" t="str">
        <f>PROPER(TRIM(I171))</f>
        <v>Plastic Storage Basket L</v>
      </c>
      <c r="K171">
        <v>3</v>
      </c>
      <c r="L171">
        <f>IF(K171="",0,K171)</f>
        <v>3</v>
      </c>
      <c r="M171">
        <v>420</v>
      </c>
      <c r="N171">
        <f>IF(M171="",0,M171)</f>
        <v>420</v>
      </c>
      <c r="O171" t="str">
        <f>IF(L171&lt;0,"NEGATIVE QUANTITY","")</f>
        <v/>
      </c>
      <c r="P171">
        <f t="shared" si="12"/>
        <v>3</v>
      </c>
      <c r="Q171">
        <f>VLOOKUP(H171,'Product Cost Lookup'!A:D,4,FALSE)</f>
        <v>250</v>
      </c>
      <c r="R171" t="str">
        <f>VLOOKUP(H171,'Product Cost Lookup'!A:D,3,FALSE)</f>
        <v>Household</v>
      </c>
      <c r="S171">
        <f t="shared" si="13"/>
        <v>1260</v>
      </c>
      <c r="T171">
        <f t="shared" si="14"/>
        <v>750</v>
      </c>
      <c r="U171">
        <f t="shared" si="15"/>
        <v>510</v>
      </c>
      <c r="V171" s="3">
        <f t="shared" si="16"/>
        <v>0.40476190476190477</v>
      </c>
      <c r="W171" t="str">
        <f t="shared" si="17"/>
        <v>Mar</v>
      </c>
    </row>
    <row r="172" spans="1:23">
      <c r="A172">
        <v>10147</v>
      </c>
      <c r="B172" s="1">
        <v>45336</v>
      </c>
      <c r="C172">
        <v>45336</v>
      </c>
      <c r="D172" t="s">
        <v>29</v>
      </c>
      <c r="E172" t="str">
        <f>IF(TRIM(D172)="","Unknown",PROPER(TRIM(D172)))</f>
        <v>Thika</v>
      </c>
      <c r="F172" t="s">
        <v>48</v>
      </c>
      <c r="G172" t="str">
        <f>PROPER(TRIM(F172))</f>
        <v>Brian Mutua</v>
      </c>
      <c r="H172" t="s">
        <v>10</v>
      </c>
      <c r="I172" t="s">
        <v>11</v>
      </c>
      <c r="J172" t="str">
        <f>PROPER(TRIM(I172))</f>
        <v>Kitchen Knife Set</v>
      </c>
      <c r="K172">
        <v>12</v>
      </c>
      <c r="L172">
        <f>IF(K172="",0,K172)</f>
        <v>12</v>
      </c>
      <c r="M172">
        <v>1300</v>
      </c>
      <c r="N172">
        <f>IF(M172="",0,M172)</f>
        <v>1300</v>
      </c>
      <c r="O172" t="str">
        <f>IF(L172&lt;0,"NEGATIVE QUANTITY","")</f>
        <v/>
      </c>
      <c r="P172">
        <f t="shared" si="12"/>
        <v>12</v>
      </c>
      <c r="Q172">
        <f>VLOOKUP(H172,'Product Cost Lookup'!A:D,4,FALSE)</f>
        <v>800</v>
      </c>
      <c r="R172" t="str">
        <f>VLOOKUP(H172,'Product Cost Lookup'!A:D,3,FALSE)</f>
        <v>Kitchenware</v>
      </c>
      <c r="S172">
        <f t="shared" si="13"/>
        <v>15600</v>
      </c>
      <c r="T172">
        <f t="shared" si="14"/>
        <v>9600</v>
      </c>
      <c r="U172">
        <f t="shared" si="15"/>
        <v>6000</v>
      </c>
      <c r="V172" s="3">
        <f t="shared" si="16"/>
        <v>0.38461538461538464</v>
      </c>
      <c r="W172" t="str">
        <f t="shared" si="17"/>
        <v>Feb</v>
      </c>
    </row>
    <row r="173" spans="1:23">
      <c r="A173">
        <v>10233</v>
      </c>
      <c r="B173" s="1">
        <v>45324</v>
      </c>
      <c r="C173">
        <v>45324</v>
      </c>
      <c r="D173" t="s">
        <v>59</v>
      </c>
      <c r="E173" t="str">
        <f>IF(TRIM(D173)="","Unknown",PROPER(TRIM(D173)))</f>
        <v>Eldoret</v>
      </c>
      <c r="F173" t="s">
        <v>46</v>
      </c>
      <c r="G173" t="str">
        <f>PROPER(TRIM(F173))</f>
        <v>Samuel Kiptoo</v>
      </c>
      <c r="H173" t="s">
        <v>30</v>
      </c>
      <c r="I173" t="s">
        <v>140</v>
      </c>
      <c r="J173" t="str">
        <f>PROPER(TRIM(I173))</f>
        <v>Garden Hose 20M</v>
      </c>
      <c r="K173">
        <v>20</v>
      </c>
      <c r="L173">
        <f>IF(K173="",0,K173)</f>
        <v>20</v>
      </c>
      <c r="M173">
        <v>1700</v>
      </c>
      <c r="N173">
        <f>IF(M173="",0,M173)</f>
        <v>1700</v>
      </c>
      <c r="O173" t="str">
        <f>IF(L173&lt;0,"NEGATIVE QUANTITY","")</f>
        <v/>
      </c>
      <c r="P173">
        <f t="shared" si="12"/>
        <v>20</v>
      </c>
      <c r="Q173">
        <f>VLOOKUP(H173,'Product Cost Lookup'!A:D,4,FALSE)</f>
        <v>1100</v>
      </c>
      <c r="R173" t="str">
        <f>VLOOKUP(H173,'Product Cost Lookup'!A:D,3,FALSE)</f>
        <v>Hardware</v>
      </c>
      <c r="S173">
        <f t="shared" si="13"/>
        <v>34000</v>
      </c>
      <c r="T173">
        <f t="shared" si="14"/>
        <v>22000</v>
      </c>
      <c r="U173">
        <f t="shared" si="15"/>
        <v>12000</v>
      </c>
      <c r="V173" s="3">
        <f t="shared" si="16"/>
        <v>0.35294117647058826</v>
      </c>
      <c r="W173" t="str">
        <f t="shared" si="17"/>
        <v>Feb</v>
      </c>
    </row>
    <row r="174" spans="1:23">
      <c r="A174">
        <v>10101</v>
      </c>
      <c r="B174" s="1">
        <v>45326</v>
      </c>
      <c r="C174">
        <v>45326</v>
      </c>
      <c r="D174" t="s">
        <v>41</v>
      </c>
      <c r="E174" t="str">
        <f>IF(TRIM(D174)="","Unknown",PROPER(TRIM(D174)))</f>
        <v>Nakuru</v>
      </c>
      <c r="F174" t="s">
        <v>122</v>
      </c>
      <c r="G174" t="str">
        <f>PROPER(TRIM(F174))</f>
        <v>Peter Otieno</v>
      </c>
      <c r="H174" t="s">
        <v>55</v>
      </c>
      <c r="I174" t="s">
        <v>56</v>
      </c>
      <c r="J174" t="str">
        <f>PROPER(TRIM(I174))</f>
        <v>Led Bulb 9W (Pack Of 4)</v>
      </c>
      <c r="K174">
        <v>8</v>
      </c>
      <c r="L174">
        <f>IF(K174="",0,K174)</f>
        <v>8</v>
      </c>
      <c r="M174">
        <v>730</v>
      </c>
      <c r="N174">
        <f>IF(M174="",0,M174)</f>
        <v>730</v>
      </c>
      <c r="O174" t="str">
        <f>IF(L174&lt;0,"NEGATIVE QUANTITY","")</f>
        <v/>
      </c>
      <c r="P174">
        <f t="shared" si="12"/>
        <v>8</v>
      </c>
      <c r="Q174">
        <f>VLOOKUP(H174,'Product Cost Lookup'!A:D,4,FALSE)</f>
        <v>480</v>
      </c>
      <c r="R174" t="str">
        <f>VLOOKUP(H174,'Product Cost Lookup'!A:D,3,FALSE)</f>
        <v>Electronics</v>
      </c>
      <c r="S174">
        <f t="shared" si="13"/>
        <v>5840</v>
      </c>
      <c r="T174">
        <f t="shared" si="14"/>
        <v>3840</v>
      </c>
      <c r="U174">
        <f t="shared" si="15"/>
        <v>2000</v>
      </c>
      <c r="V174" s="3">
        <f t="shared" si="16"/>
        <v>0.34246575342465752</v>
      </c>
      <c r="W174" t="str">
        <f t="shared" si="17"/>
        <v>Feb</v>
      </c>
    </row>
    <row r="175" spans="1:23">
      <c r="A175">
        <v>10287</v>
      </c>
      <c r="B175" s="2">
        <v>45365</v>
      </c>
      <c r="C175">
        <v>45365</v>
      </c>
      <c r="D175" t="s">
        <v>15</v>
      </c>
      <c r="E175" t="str">
        <f>IF(TRIM(D175)="","Unknown",PROPER(TRIM(D175)))</f>
        <v>Mombasa</v>
      </c>
      <c r="F175" t="s">
        <v>62</v>
      </c>
      <c r="G175" t="str">
        <f>PROPER(TRIM(F175))</f>
        <v>John Mwangi</v>
      </c>
      <c r="H175" t="s">
        <v>53</v>
      </c>
      <c r="I175" t="s">
        <v>72</v>
      </c>
      <c r="J175" t="str">
        <f>PROPER(TRIM(I175))</f>
        <v>Rechargeable Torch Rt-10</v>
      </c>
      <c r="K175">
        <v>5</v>
      </c>
      <c r="L175">
        <f>IF(K175="",0,K175)</f>
        <v>5</v>
      </c>
      <c r="M175">
        <v>950</v>
      </c>
      <c r="N175">
        <f>IF(M175="",0,M175)</f>
        <v>950</v>
      </c>
      <c r="O175" t="str">
        <f>IF(L175&lt;0,"NEGATIVE QUANTITY","")</f>
        <v/>
      </c>
      <c r="P175">
        <f t="shared" si="12"/>
        <v>5</v>
      </c>
      <c r="Q175">
        <f>VLOOKUP(H175,'Product Cost Lookup'!A:D,4,FALSE)</f>
        <v>600</v>
      </c>
      <c r="R175" t="str">
        <f>VLOOKUP(H175,'Product Cost Lookup'!A:D,3,FALSE)</f>
        <v>Electronics</v>
      </c>
      <c r="S175">
        <f t="shared" si="13"/>
        <v>4750</v>
      </c>
      <c r="T175">
        <f t="shared" si="14"/>
        <v>3000</v>
      </c>
      <c r="U175">
        <f t="shared" si="15"/>
        <v>1750</v>
      </c>
      <c r="V175" s="3">
        <f t="shared" si="16"/>
        <v>0.36842105263157893</v>
      </c>
      <c r="W175" t="str">
        <f t="shared" si="17"/>
        <v>Mar</v>
      </c>
    </row>
    <row r="176" spans="1:23">
      <c r="A176">
        <v>10098</v>
      </c>
      <c r="B176" s="1">
        <v>45329</v>
      </c>
      <c r="C176">
        <v>45329</v>
      </c>
      <c r="D176" t="s">
        <v>74</v>
      </c>
      <c r="E176" t="str">
        <f>IF(TRIM(D176)="","Unknown",PROPER(TRIM(D176)))</f>
        <v>Nairobi</v>
      </c>
      <c r="F176" t="s">
        <v>62</v>
      </c>
      <c r="G176" t="str">
        <f>PROPER(TRIM(F176))</f>
        <v>John Mwangi</v>
      </c>
      <c r="H176" t="s">
        <v>33</v>
      </c>
      <c r="I176" t="s">
        <v>60</v>
      </c>
      <c r="J176" t="str">
        <f>PROPER(TRIM(I176))</f>
        <v>Padlock Set (3Pc)</v>
      </c>
      <c r="K176">
        <v>6</v>
      </c>
      <c r="L176">
        <f>IF(K176="",0,K176)</f>
        <v>6</v>
      </c>
      <c r="M176">
        <v>800</v>
      </c>
      <c r="N176">
        <f>IF(M176="",0,M176)</f>
        <v>800</v>
      </c>
      <c r="O176" t="str">
        <f>IF(L176&lt;0,"NEGATIVE QUANTITY","")</f>
        <v/>
      </c>
      <c r="P176">
        <f t="shared" si="12"/>
        <v>6</v>
      </c>
      <c r="Q176">
        <f>VLOOKUP(H176,'Product Cost Lookup'!A:D,4,FALSE)</f>
        <v>450</v>
      </c>
      <c r="R176" t="str">
        <f>VLOOKUP(H176,'Product Cost Lookup'!A:D,3,FALSE)</f>
        <v>Hardware</v>
      </c>
      <c r="S176">
        <f t="shared" si="13"/>
        <v>4800</v>
      </c>
      <c r="T176">
        <f t="shared" si="14"/>
        <v>2700</v>
      </c>
      <c r="U176">
        <f t="shared" si="15"/>
        <v>2100</v>
      </c>
      <c r="V176" s="3">
        <f t="shared" si="16"/>
        <v>0.4375</v>
      </c>
      <c r="W176" t="str">
        <f t="shared" si="17"/>
        <v>Feb</v>
      </c>
    </row>
    <row r="177" spans="1:23">
      <c r="A177">
        <v>10319</v>
      </c>
      <c r="B177" s="1">
        <v>45355</v>
      </c>
      <c r="C177">
        <v>45355</v>
      </c>
      <c r="D177" t="s">
        <v>95</v>
      </c>
      <c r="E177" t="str">
        <f>IF(TRIM(D177)="","Unknown",PROPER(TRIM(D177)))</f>
        <v>Kisumu</v>
      </c>
      <c r="F177" t="s">
        <v>81</v>
      </c>
      <c r="G177" t="str">
        <f>PROPER(TRIM(F177))</f>
        <v>Aisha Hassan</v>
      </c>
      <c r="H177" t="s">
        <v>30</v>
      </c>
      <c r="I177" t="s">
        <v>31</v>
      </c>
      <c r="J177" t="str">
        <f>PROPER(TRIM(I177))</f>
        <v>Garden Hose 20M</v>
      </c>
      <c r="K177">
        <v>1</v>
      </c>
      <c r="L177">
        <f>IF(K177="",0,K177)</f>
        <v>1</v>
      </c>
      <c r="M177">
        <v>1700</v>
      </c>
      <c r="N177">
        <f>IF(M177="",0,M177)</f>
        <v>1700</v>
      </c>
      <c r="O177" t="str">
        <f>IF(L177&lt;0,"NEGATIVE QUANTITY","")</f>
        <v/>
      </c>
      <c r="P177">
        <f t="shared" si="12"/>
        <v>1</v>
      </c>
      <c r="Q177">
        <f>VLOOKUP(H177,'Product Cost Lookup'!A:D,4,FALSE)</f>
        <v>1100</v>
      </c>
      <c r="R177" t="str">
        <f>VLOOKUP(H177,'Product Cost Lookup'!A:D,3,FALSE)</f>
        <v>Hardware</v>
      </c>
      <c r="S177">
        <f t="shared" si="13"/>
        <v>1700</v>
      </c>
      <c r="T177">
        <f t="shared" si="14"/>
        <v>1100</v>
      </c>
      <c r="U177">
        <f t="shared" si="15"/>
        <v>600</v>
      </c>
      <c r="V177" s="3">
        <f t="shared" si="16"/>
        <v>0.35294117647058826</v>
      </c>
      <c r="W177" t="str">
        <f t="shared" si="17"/>
        <v>Mar</v>
      </c>
    </row>
    <row r="178" spans="1:23">
      <c r="A178">
        <v>10011</v>
      </c>
      <c r="B178" s="2">
        <v>45299</v>
      </c>
      <c r="C178">
        <v>45299</v>
      </c>
      <c r="D178" t="s">
        <v>15</v>
      </c>
      <c r="E178" t="str">
        <f>IF(TRIM(D178)="","Unknown",PROPER(TRIM(D178)))</f>
        <v>Mombasa</v>
      </c>
      <c r="F178" t="s">
        <v>139</v>
      </c>
      <c r="G178" t="str">
        <f>PROPER(TRIM(F178))</f>
        <v>Grace Achieng</v>
      </c>
      <c r="H178" t="s">
        <v>50</v>
      </c>
      <c r="I178" t="s">
        <v>89</v>
      </c>
      <c r="J178" t="str">
        <f>PROPER(TRIM(I178))</f>
        <v>Solar Lantern Sl-200</v>
      </c>
      <c r="K178">
        <v>10</v>
      </c>
      <c r="L178">
        <f>IF(K178="",0,K178)</f>
        <v>10</v>
      </c>
      <c r="M178">
        <v>1400</v>
      </c>
      <c r="N178">
        <f>IF(M178="",0,M178)</f>
        <v>1400</v>
      </c>
      <c r="O178" t="str">
        <f>IF(L178&lt;0,"NEGATIVE QUANTITY","")</f>
        <v/>
      </c>
      <c r="P178">
        <f t="shared" si="12"/>
        <v>10</v>
      </c>
      <c r="Q178">
        <f>VLOOKUP(H178,'Product Cost Lookup'!A:D,4,FALSE)</f>
        <v>900</v>
      </c>
      <c r="R178" t="str">
        <f>VLOOKUP(H178,'Product Cost Lookup'!A:D,3,FALSE)</f>
        <v>Electronics</v>
      </c>
      <c r="S178">
        <f t="shared" si="13"/>
        <v>14000</v>
      </c>
      <c r="T178">
        <f t="shared" si="14"/>
        <v>9000</v>
      </c>
      <c r="U178">
        <f t="shared" si="15"/>
        <v>5000</v>
      </c>
      <c r="V178" s="3">
        <f t="shared" si="16"/>
        <v>0.35714285714285715</v>
      </c>
      <c r="W178" t="str">
        <f t="shared" si="17"/>
        <v>Jan</v>
      </c>
    </row>
    <row r="179" spans="1:23">
      <c r="A179">
        <v>10274</v>
      </c>
      <c r="B179" s="1">
        <v>45328</v>
      </c>
      <c r="C179">
        <v>45328</v>
      </c>
      <c r="D179" t="s">
        <v>152</v>
      </c>
      <c r="E179" t="str">
        <f>IF(TRIM(D179)="","Unknown",PROPER(TRIM(D179)))</f>
        <v>Nakuru</v>
      </c>
      <c r="F179" t="s">
        <v>48</v>
      </c>
      <c r="G179" t="str">
        <f>PROPER(TRIM(F179))</f>
        <v>Brian Mutua</v>
      </c>
      <c r="H179" t="s">
        <v>65</v>
      </c>
      <c r="I179" t="s">
        <v>73</v>
      </c>
      <c r="J179" t="str">
        <f>PROPER(TRIM(I179))</f>
        <v>Mosquito Net - Family Size</v>
      </c>
      <c r="K179">
        <v>20</v>
      </c>
      <c r="L179">
        <f>IF(K179="",0,K179)</f>
        <v>20</v>
      </c>
      <c r="M179">
        <v>600</v>
      </c>
      <c r="N179">
        <f>IF(M179="",0,M179)</f>
        <v>600</v>
      </c>
      <c r="O179" t="str">
        <f>IF(L179&lt;0,"NEGATIVE QUANTITY","")</f>
        <v/>
      </c>
      <c r="P179">
        <f t="shared" si="12"/>
        <v>20</v>
      </c>
      <c r="Q179">
        <f>VLOOKUP(H179,'Product Cost Lookup'!A:D,4,FALSE)</f>
        <v>400</v>
      </c>
      <c r="R179" t="str">
        <f>VLOOKUP(H179,'Product Cost Lookup'!A:D,3,FALSE)</f>
        <v>Household</v>
      </c>
      <c r="S179">
        <f t="shared" si="13"/>
        <v>12000</v>
      </c>
      <c r="T179">
        <f t="shared" si="14"/>
        <v>8000</v>
      </c>
      <c r="U179">
        <f t="shared" si="15"/>
        <v>4000</v>
      </c>
      <c r="V179" s="3">
        <f t="shared" si="16"/>
        <v>0.33333333333333331</v>
      </c>
      <c r="W179" t="str">
        <f t="shared" si="17"/>
        <v>Feb</v>
      </c>
    </row>
    <row r="180" spans="1:23">
      <c r="A180">
        <v>10110</v>
      </c>
      <c r="B180" s="1">
        <v>45380</v>
      </c>
      <c r="C180">
        <v>45380</v>
      </c>
      <c r="D180" t="s">
        <v>41</v>
      </c>
      <c r="E180" t="str">
        <f>IF(TRIM(D180)="","Unknown",PROPER(TRIM(D180)))</f>
        <v>Nakuru</v>
      </c>
      <c r="F180" t="s">
        <v>24</v>
      </c>
      <c r="G180" t="str">
        <f>PROPER(TRIM(F180))</f>
        <v>Mercy Njeri</v>
      </c>
      <c r="H180" t="s">
        <v>38</v>
      </c>
      <c r="I180" t="s">
        <v>39</v>
      </c>
      <c r="J180" t="str">
        <f>PROPER(TRIM(I180))</f>
        <v>Usb Wall Charger Uc-5</v>
      </c>
      <c r="K180">
        <v>1</v>
      </c>
      <c r="L180">
        <f>IF(K180="",0,K180)</f>
        <v>1</v>
      </c>
      <c r="M180">
        <v>500</v>
      </c>
      <c r="N180">
        <f>IF(M180="",0,M180)</f>
        <v>500</v>
      </c>
      <c r="O180" t="str">
        <f>IF(L180&lt;0,"NEGATIVE QUANTITY","")</f>
        <v/>
      </c>
      <c r="P180">
        <f t="shared" si="12"/>
        <v>1</v>
      </c>
      <c r="Q180">
        <f>VLOOKUP(H180,'Product Cost Lookup'!A:D,4,FALSE)</f>
        <v>300</v>
      </c>
      <c r="R180" t="str">
        <f>VLOOKUP(H180,'Product Cost Lookup'!A:D,3,FALSE)</f>
        <v>Electronics</v>
      </c>
      <c r="S180">
        <f t="shared" si="13"/>
        <v>500</v>
      </c>
      <c r="T180">
        <f t="shared" si="14"/>
        <v>300</v>
      </c>
      <c r="U180">
        <f t="shared" si="15"/>
        <v>200</v>
      </c>
      <c r="V180" s="3">
        <f t="shared" si="16"/>
        <v>0.4</v>
      </c>
      <c r="W180" t="str">
        <f t="shared" si="17"/>
        <v>Mar</v>
      </c>
    </row>
    <row r="181" spans="1:23">
      <c r="A181">
        <v>10064</v>
      </c>
      <c r="B181" s="1">
        <v>45568</v>
      </c>
      <c r="C181">
        <v>45568</v>
      </c>
      <c r="D181" t="s">
        <v>74</v>
      </c>
      <c r="E181" t="str">
        <f>IF(TRIM(D181)="","Unknown",PROPER(TRIM(D181)))</f>
        <v>Nairobi</v>
      </c>
      <c r="F181" t="s">
        <v>153</v>
      </c>
      <c r="G181" t="str">
        <f>PROPER(TRIM(F181))</f>
        <v>Grace Achieng</v>
      </c>
      <c r="H181" t="s">
        <v>77</v>
      </c>
      <c r="I181" t="s">
        <v>154</v>
      </c>
      <c r="J181" t="str">
        <f>PROPER(TRIM(I181))</f>
        <v>Cooking Gas Burner Cb-2</v>
      </c>
      <c r="K181">
        <v>20</v>
      </c>
      <c r="L181">
        <f>IF(K181="",0,K181)</f>
        <v>20</v>
      </c>
      <c r="M181">
        <v>1850</v>
      </c>
      <c r="N181">
        <f>IF(M181="",0,M181)</f>
        <v>1850</v>
      </c>
      <c r="O181" t="str">
        <f>IF(L181&lt;0,"NEGATIVE QUANTITY","")</f>
        <v/>
      </c>
      <c r="P181">
        <f t="shared" si="12"/>
        <v>20</v>
      </c>
      <c r="Q181">
        <f>VLOOKUP(H181,'Product Cost Lookup'!A:D,4,FALSE)</f>
        <v>1200</v>
      </c>
      <c r="R181" t="str">
        <f>VLOOKUP(H181,'Product Cost Lookup'!A:D,3,FALSE)</f>
        <v>Kitchenware</v>
      </c>
      <c r="S181">
        <f t="shared" si="13"/>
        <v>37000</v>
      </c>
      <c r="T181">
        <f t="shared" si="14"/>
        <v>24000</v>
      </c>
      <c r="U181">
        <f t="shared" si="15"/>
        <v>13000</v>
      </c>
      <c r="V181" s="3">
        <f t="shared" si="16"/>
        <v>0.35135135135135137</v>
      </c>
      <c r="W181" t="str">
        <f t="shared" si="17"/>
        <v>Oct</v>
      </c>
    </row>
    <row r="182" spans="1:23">
      <c r="A182">
        <v>10118</v>
      </c>
      <c r="B182" s="2">
        <v>45371</v>
      </c>
      <c r="C182">
        <v>45371</v>
      </c>
      <c r="D182" t="s">
        <v>40</v>
      </c>
      <c r="E182" t="str">
        <f>IF(TRIM(D182)="","Unknown",PROPER(TRIM(D182)))</f>
        <v>Thika</v>
      </c>
      <c r="F182" t="s">
        <v>24</v>
      </c>
      <c r="G182" t="str">
        <f>PROPER(TRIM(F182))</f>
        <v>Mercy Njeri</v>
      </c>
      <c r="H182" t="s">
        <v>55</v>
      </c>
      <c r="I182" t="s">
        <v>56</v>
      </c>
      <c r="J182" t="str">
        <f>PROPER(TRIM(I182))</f>
        <v>Led Bulb 9W (Pack Of 4)</v>
      </c>
      <c r="K182">
        <v>15</v>
      </c>
      <c r="L182">
        <f>IF(K182="",0,K182)</f>
        <v>15</v>
      </c>
      <c r="N182">
        <f>IF(M182="",0,M182)</f>
        <v>0</v>
      </c>
      <c r="O182" t="str">
        <f>IF(L182&lt;0,"NEGATIVE QUANTITY","")</f>
        <v/>
      </c>
      <c r="P182">
        <f t="shared" si="12"/>
        <v>15</v>
      </c>
      <c r="Q182">
        <f>VLOOKUP(H182,'Product Cost Lookup'!A:D,4,FALSE)</f>
        <v>480</v>
      </c>
      <c r="R182" t="str">
        <f>VLOOKUP(H182,'Product Cost Lookup'!A:D,3,FALSE)</f>
        <v>Electronics</v>
      </c>
      <c r="S182">
        <f t="shared" si="13"/>
        <v>0</v>
      </c>
      <c r="T182">
        <f t="shared" si="14"/>
        <v>7200</v>
      </c>
      <c r="U182">
        <f t="shared" si="15"/>
        <v>-7200</v>
      </c>
      <c r="V182" s="3">
        <f t="shared" si="16"/>
        <v>0</v>
      </c>
      <c r="W182" t="str">
        <f t="shared" si="17"/>
        <v>Mar</v>
      </c>
    </row>
    <row r="183" spans="1:23">
      <c r="A183">
        <v>10084</v>
      </c>
      <c r="B183" s="1">
        <v>45295</v>
      </c>
      <c r="C183">
        <v>45295</v>
      </c>
      <c r="D183" t="s">
        <v>15</v>
      </c>
      <c r="E183" t="str">
        <f>IF(TRIM(D183)="","Unknown",PROPER(TRIM(D183)))</f>
        <v>Mombasa</v>
      </c>
      <c r="F183" t="s">
        <v>46</v>
      </c>
      <c r="G183" t="str">
        <f>PROPER(TRIM(F183))</f>
        <v>Samuel Kiptoo</v>
      </c>
      <c r="H183" t="s">
        <v>30</v>
      </c>
      <c r="I183" t="s">
        <v>127</v>
      </c>
      <c r="J183" t="str">
        <f>PROPER(TRIM(I183))</f>
        <v>Garden Hose 20M</v>
      </c>
      <c r="K183">
        <v>5</v>
      </c>
      <c r="L183">
        <f>IF(K183="",0,K183)</f>
        <v>5</v>
      </c>
      <c r="M183">
        <v>1700</v>
      </c>
      <c r="N183">
        <f>IF(M183="",0,M183)</f>
        <v>1700</v>
      </c>
      <c r="O183" t="str">
        <f>IF(L183&lt;0,"NEGATIVE QUANTITY","")</f>
        <v/>
      </c>
      <c r="P183">
        <f t="shared" si="12"/>
        <v>5</v>
      </c>
      <c r="Q183">
        <f>VLOOKUP(H183,'Product Cost Lookup'!A:D,4,FALSE)</f>
        <v>1100</v>
      </c>
      <c r="R183" t="str">
        <f>VLOOKUP(H183,'Product Cost Lookup'!A:D,3,FALSE)</f>
        <v>Hardware</v>
      </c>
      <c r="S183">
        <f t="shared" si="13"/>
        <v>8500</v>
      </c>
      <c r="T183">
        <f t="shared" si="14"/>
        <v>5500</v>
      </c>
      <c r="U183">
        <f t="shared" si="15"/>
        <v>3000</v>
      </c>
      <c r="V183" s="3">
        <f t="shared" si="16"/>
        <v>0.35294117647058826</v>
      </c>
      <c r="W183" t="str">
        <f t="shared" si="17"/>
        <v>Jan</v>
      </c>
    </row>
    <row r="184" spans="1:23">
      <c r="A184">
        <v>10224</v>
      </c>
      <c r="B184" s="1">
        <v>45378</v>
      </c>
      <c r="C184">
        <v>45378</v>
      </c>
      <c r="D184" t="s">
        <v>19</v>
      </c>
      <c r="E184" t="str">
        <f>IF(TRIM(D184)="","Unknown",PROPER(TRIM(D184)))</f>
        <v>Eldoret</v>
      </c>
      <c r="F184" t="s">
        <v>9</v>
      </c>
      <c r="G184" t="str">
        <f>PROPER(TRIM(F184))</f>
        <v>Peter Otieno</v>
      </c>
      <c r="H184" t="s">
        <v>50</v>
      </c>
      <c r="I184" t="s">
        <v>51</v>
      </c>
      <c r="J184" t="str">
        <f>PROPER(TRIM(I184))</f>
        <v>Solar Lantern Sl200</v>
      </c>
      <c r="K184">
        <v>10</v>
      </c>
      <c r="L184">
        <f>IF(K184="",0,K184)</f>
        <v>10</v>
      </c>
      <c r="M184">
        <v>1450</v>
      </c>
      <c r="N184">
        <f>IF(M184="",0,M184)</f>
        <v>1450</v>
      </c>
      <c r="O184" t="str">
        <f>IF(L184&lt;0,"NEGATIVE QUANTITY","")</f>
        <v/>
      </c>
      <c r="P184">
        <f t="shared" si="12"/>
        <v>10</v>
      </c>
      <c r="Q184">
        <f>VLOOKUP(H184,'Product Cost Lookup'!A:D,4,FALSE)</f>
        <v>900</v>
      </c>
      <c r="R184" t="str">
        <f>VLOOKUP(H184,'Product Cost Lookup'!A:D,3,FALSE)</f>
        <v>Electronics</v>
      </c>
      <c r="S184">
        <f t="shared" si="13"/>
        <v>14500</v>
      </c>
      <c r="T184">
        <f t="shared" si="14"/>
        <v>9000</v>
      </c>
      <c r="U184">
        <f t="shared" si="15"/>
        <v>5500</v>
      </c>
      <c r="V184" s="3">
        <f t="shared" si="16"/>
        <v>0.37931034482758619</v>
      </c>
      <c r="W184" t="str">
        <f t="shared" si="17"/>
        <v>Mar</v>
      </c>
    </row>
    <row r="185" spans="1:23">
      <c r="A185">
        <v>10252</v>
      </c>
      <c r="B185" s="1">
        <v>45323</v>
      </c>
      <c r="C185">
        <v>45323</v>
      </c>
      <c r="E185" t="str">
        <f>IF(TRIM(D185)="","Unknown",PROPER(TRIM(D185)))</f>
        <v>Unknown</v>
      </c>
      <c r="F185" t="s">
        <v>24</v>
      </c>
      <c r="G185" t="str">
        <f>PROPER(TRIM(F185))</f>
        <v>Mercy Njeri</v>
      </c>
      <c r="H185" t="s">
        <v>33</v>
      </c>
      <c r="I185" t="s">
        <v>60</v>
      </c>
      <c r="J185" t="str">
        <f>PROPER(TRIM(I185))</f>
        <v>Padlock Set (3Pc)</v>
      </c>
      <c r="K185">
        <v>20</v>
      </c>
      <c r="L185">
        <f>IF(K185="",0,K185)</f>
        <v>20</v>
      </c>
      <c r="M185">
        <v>750</v>
      </c>
      <c r="N185">
        <f>IF(M185="",0,M185)</f>
        <v>750</v>
      </c>
      <c r="O185" t="str">
        <f>IF(L185&lt;0,"NEGATIVE QUANTITY","")</f>
        <v/>
      </c>
      <c r="P185">
        <f t="shared" si="12"/>
        <v>20</v>
      </c>
      <c r="Q185">
        <f>VLOOKUP(H185,'Product Cost Lookup'!A:D,4,FALSE)</f>
        <v>450</v>
      </c>
      <c r="R185" t="str">
        <f>VLOOKUP(H185,'Product Cost Lookup'!A:D,3,FALSE)</f>
        <v>Hardware</v>
      </c>
      <c r="S185">
        <f t="shared" si="13"/>
        <v>15000</v>
      </c>
      <c r="T185">
        <f t="shared" si="14"/>
        <v>9000</v>
      </c>
      <c r="U185">
        <f t="shared" si="15"/>
        <v>6000</v>
      </c>
      <c r="V185" s="3">
        <f t="shared" si="16"/>
        <v>0.4</v>
      </c>
      <c r="W185" t="str">
        <f t="shared" si="17"/>
        <v>Feb</v>
      </c>
    </row>
    <row r="186" spans="1:23">
      <c r="A186">
        <v>10237</v>
      </c>
      <c r="B186" s="1">
        <v>45308</v>
      </c>
      <c r="C186">
        <v>45308</v>
      </c>
      <c r="D186" t="s">
        <v>156</v>
      </c>
      <c r="E186" t="str">
        <f>IF(TRIM(D186)="","Unknown",PROPER(TRIM(D186)))</f>
        <v>Thika</v>
      </c>
      <c r="F186" t="s">
        <v>86</v>
      </c>
      <c r="G186" t="str">
        <f>PROPER(TRIM(F186))</f>
        <v>Samuel Kiptoo</v>
      </c>
      <c r="H186" t="s">
        <v>30</v>
      </c>
      <c r="I186" t="s">
        <v>31</v>
      </c>
      <c r="J186" t="str">
        <f>PROPER(TRIM(I186))</f>
        <v>Garden Hose 20M</v>
      </c>
      <c r="K186">
        <v>12</v>
      </c>
      <c r="L186">
        <f>IF(K186="",0,K186)</f>
        <v>12</v>
      </c>
      <c r="M186">
        <v>1700</v>
      </c>
      <c r="N186">
        <f>IF(M186="",0,M186)</f>
        <v>1700</v>
      </c>
      <c r="O186" t="str">
        <f>IF(L186&lt;0,"NEGATIVE QUANTITY","")</f>
        <v/>
      </c>
      <c r="P186">
        <f t="shared" si="12"/>
        <v>12</v>
      </c>
      <c r="Q186">
        <f>VLOOKUP(H186,'Product Cost Lookup'!A:D,4,FALSE)</f>
        <v>1100</v>
      </c>
      <c r="R186" t="str">
        <f>VLOOKUP(H186,'Product Cost Lookup'!A:D,3,FALSE)</f>
        <v>Hardware</v>
      </c>
      <c r="S186">
        <f t="shared" si="13"/>
        <v>20400</v>
      </c>
      <c r="T186">
        <f t="shared" si="14"/>
        <v>13200</v>
      </c>
      <c r="U186">
        <f t="shared" si="15"/>
        <v>7200</v>
      </c>
      <c r="V186" s="3">
        <f t="shared" si="16"/>
        <v>0.35294117647058826</v>
      </c>
      <c r="W186" t="str">
        <f t="shared" si="17"/>
        <v>Jan</v>
      </c>
    </row>
    <row r="187" spans="1:23">
      <c r="A187">
        <v>10113</v>
      </c>
      <c r="B187" t="s">
        <v>157</v>
      </c>
      <c r="C187">
        <v>45319</v>
      </c>
      <c r="D187" t="s">
        <v>19</v>
      </c>
      <c r="E187" t="str">
        <f>IF(TRIM(D187)="","Unknown",PROPER(TRIM(D187)))</f>
        <v>Eldoret</v>
      </c>
      <c r="F187" t="s">
        <v>86</v>
      </c>
      <c r="G187" t="str">
        <f>PROPER(TRIM(F187))</f>
        <v>Samuel Kiptoo</v>
      </c>
      <c r="H187" t="s">
        <v>30</v>
      </c>
      <c r="I187" t="s">
        <v>31</v>
      </c>
      <c r="J187" t="str">
        <f>PROPER(TRIM(I187))</f>
        <v>Garden Hose 20M</v>
      </c>
      <c r="K187">
        <v>10</v>
      </c>
      <c r="L187">
        <f>IF(K187="",0,K187)</f>
        <v>10</v>
      </c>
      <c r="M187">
        <v>1700</v>
      </c>
      <c r="N187">
        <f>IF(M187="",0,M187)</f>
        <v>1700</v>
      </c>
      <c r="O187" t="str">
        <f>IF(L187&lt;0,"NEGATIVE QUANTITY","")</f>
        <v/>
      </c>
      <c r="P187">
        <f t="shared" si="12"/>
        <v>10</v>
      </c>
      <c r="Q187">
        <f>VLOOKUP(H187,'Product Cost Lookup'!A:D,4,FALSE)</f>
        <v>1100</v>
      </c>
      <c r="R187" t="str">
        <f>VLOOKUP(H187,'Product Cost Lookup'!A:D,3,FALSE)</f>
        <v>Hardware</v>
      </c>
      <c r="S187">
        <f t="shared" si="13"/>
        <v>17000</v>
      </c>
      <c r="T187">
        <f t="shared" si="14"/>
        <v>11000</v>
      </c>
      <c r="U187">
        <f t="shared" si="15"/>
        <v>6000</v>
      </c>
      <c r="V187" s="3">
        <f t="shared" si="16"/>
        <v>0.35294117647058826</v>
      </c>
      <c r="W187" t="str">
        <f t="shared" si="17"/>
        <v>Jan</v>
      </c>
    </row>
    <row r="188" spans="1:23">
      <c r="A188">
        <v>10323</v>
      </c>
      <c r="B188" s="2">
        <v>45335</v>
      </c>
      <c r="C188">
        <v>45335</v>
      </c>
      <c r="D188" t="s">
        <v>29</v>
      </c>
      <c r="E188" t="str">
        <f>IF(TRIM(D188)="","Unknown",PROPER(TRIM(D188)))</f>
        <v>Thika</v>
      </c>
      <c r="F188" t="s">
        <v>62</v>
      </c>
      <c r="G188" t="str">
        <f>PROPER(TRIM(F188))</f>
        <v>John Mwangi</v>
      </c>
      <c r="H188" t="s">
        <v>17</v>
      </c>
      <c r="I188" t="s">
        <v>18</v>
      </c>
      <c r="J188" t="str">
        <f>PROPER(TRIM(I188))</f>
        <v>20L Jerrycan - Blue</v>
      </c>
      <c r="K188">
        <v>6</v>
      </c>
      <c r="L188">
        <f>IF(K188="",0,K188)</f>
        <v>6</v>
      </c>
      <c r="M188">
        <v>550</v>
      </c>
      <c r="N188">
        <f>IF(M188="",0,M188)</f>
        <v>550</v>
      </c>
      <c r="O188" t="str">
        <f>IF(L188&lt;0,"NEGATIVE QUANTITY","")</f>
        <v/>
      </c>
      <c r="P188">
        <f t="shared" si="12"/>
        <v>6</v>
      </c>
      <c r="Q188">
        <f>VLOOKUP(H188,'Product Cost Lookup'!A:D,4,FALSE)</f>
        <v>350</v>
      </c>
      <c r="R188" t="str">
        <f>VLOOKUP(H188,'Product Cost Lookup'!A:D,3,FALSE)</f>
        <v>Household</v>
      </c>
      <c r="S188">
        <f t="shared" si="13"/>
        <v>3300</v>
      </c>
      <c r="T188">
        <f t="shared" si="14"/>
        <v>2100</v>
      </c>
      <c r="U188">
        <f t="shared" si="15"/>
        <v>1200</v>
      </c>
      <c r="V188" s="3">
        <f t="shared" si="16"/>
        <v>0.36363636363636365</v>
      </c>
      <c r="W188" t="str">
        <f t="shared" si="17"/>
        <v>Feb</v>
      </c>
    </row>
    <row r="189" spans="1:23">
      <c r="A189">
        <v>10017</v>
      </c>
      <c r="B189" s="1">
        <v>45346</v>
      </c>
      <c r="C189">
        <v>45346</v>
      </c>
      <c r="D189" t="s">
        <v>45</v>
      </c>
      <c r="E189" t="str">
        <f>IF(TRIM(D189)="","Unknown",PROPER(TRIM(D189)))</f>
        <v>Thika</v>
      </c>
      <c r="F189" t="s">
        <v>81</v>
      </c>
      <c r="G189" t="str">
        <f>PROPER(TRIM(F189))</f>
        <v>Aisha Hassan</v>
      </c>
      <c r="H189" t="s">
        <v>53</v>
      </c>
      <c r="I189" t="s">
        <v>72</v>
      </c>
      <c r="J189" t="str">
        <f>PROPER(TRIM(I189))</f>
        <v>Rechargeable Torch Rt-10</v>
      </c>
      <c r="K189">
        <v>4</v>
      </c>
      <c r="L189">
        <f>IF(K189="",0,K189)</f>
        <v>4</v>
      </c>
      <c r="M189">
        <v>950</v>
      </c>
      <c r="N189">
        <f>IF(M189="",0,M189)</f>
        <v>950</v>
      </c>
      <c r="O189" t="str">
        <f>IF(L189&lt;0,"NEGATIVE QUANTITY","")</f>
        <v/>
      </c>
      <c r="P189">
        <f t="shared" si="12"/>
        <v>4</v>
      </c>
      <c r="Q189">
        <f>VLOOKUP(H189,'Product Cost Lookup'!A:D,4,FALSE)</f>
        <v>600</v>
      </c>
      <c r="R189" t="str">
        <f>VLOOKUP(H189,'Product Cost Lookup'!A:D,3,FALSE)</f>
        <v>Electronics</v>
      </c>
      <c r="S189">
        <f t="shared" si="13"/>
        <v>3800</v>
      </c>
      <c r="T189">
        <f t="shared" si="14"/>
        <v>2400</v>
      </c>
      <c r="U189">
        <f t="shared" si="15"/>
        <v>1400</v>
      </c>
      <c r="V189" s="3">
        <f t="shared" si="16"/>
        <v>0.36842105263157893</v>
      </c>
      <c r="W189" t="str">
        <f t="shared" si="17"/>
        <v>Feb</v>
      </c>
    </row>
    <row r="190" spans="1:23">
      <c r="A190">
        <v>10053</v>
      </c>
      <c r="B190" s="1">
        <v>45320</v>
      </c>
      <c r="C190">
        <v>45320</v>
      </c>
      <c r="D190" t="s">
        <v>40</v>
      </c>
      <c r="E190" t="str">
        <f>IF(TRIM(D190)="","Unknown",PROPER(TRIM(D190)))</f>
        <v>Thika</v>
      </c>
      <c r="F190" t="s">
        <v>9</v>
      </c>
      <c r="G190" t="str">
        <f>PROPER(TRIM(F190))</f>
        <v>Peter Otieno</v>
      </c>
      <c r="H190" t="s">
        <v>21</v>
      </c>
      <c r="I190" t="s">
        <v>22</v>
      </c>
      <c r="J190" t="str">
        <f>PROPER(TRIM(I190))</f>
        <v>Water Dispenser Stand</v>
      </c>
      <c r="K190">
        <v>5</v>
      </c>
      <c r="L190">
        <f>IF(K190="",0,K190)</f>
        <v>5</v>
      </c>
      <c r="M190">
        <v>2300</v>
      </c>
      <c r="N190">
        <f>IF(M190="",0,M190)</f>
        <v>2300</v>
      </c>
      <c r="O190" t="str">
        <f>IF(L190&lt;0,"NEGATIVE QUANTITY","")</f>
        <v/>
      </c>
      <c r="P190">
        <f t="shared" si="12"/>
        <v>5</v>
      </c>
      <c r="Q190">
        <f>VLOOKUP(H190,'Product Cost Lookup'!A:D,4,FALSE)</f>
        <v>1500</v>
      </c>
      <c r="R190" t="str">
        <f>VLOOKUP(H190,'Product Cost Lookup'!A:D,3,FALSE)</f>
        <v>Household</v>
      </c>
      <c r="S190">
        <f t="shared" si="13"/>
        <v>11500</v>
      </c>
      <c r="T190">
        <f t="shared" si="14"/>
        <v>7500</v>
      </c>
      <c r="U190">
        <f t="shared" si="15"/>
        <v>4000</v>
      </c>
      <c r="V190" s="3">
        <f t="shared" si="16"/>
        <v>0.34782608695652173</v>
      </c>
      <c r="W190" t="str">
        <f t="shared" si="17"/>
        <v>Jan</v>
      </c>
    </row>
    <row r="191" spans="1:23">
      <c r="A191">
        <v>10194</v>
      </c>
      <c r="B191" s="1">
        <v>45299</v>
      </c>
      <c r="C191">
        <v>45299</v>
      </c>
      <c r="D191" t="s">
        <v>35</v>
      </c>
      <c r="E191" t="str">
        <f>IF(TRIM(D191)="","Unknown",PROPER(TRIM(D191)))</f>
        <v>Kisumu</v>
      </c>
      <c r="F191" t="s">
        <v>9</v>
      </c>
      <c r="G191" t="str">
        <f>PROPER(TRIM(F191))</f>
        <v>Peter Otieno</v>
      </c>
      <c r="H191" t="s">
        <v>50</v>
      </c>
      <c r="I191" t="s">
        <v>51</v>
      </c>
      <c r="J191" t="str">
        <f>PROPER(TRIM(I191))</f>
        <v>Solar Lantern Sl200</v>
      </c>
      <c r="K191">
        <v>1</v>
      </c>
      <c r="L191">
        <f>IF(K191="",0,K191)</f>
        <v>1</v>
      </c>
      <c r="M191">
        <v>1450</v>
      </c>
      <c r="N191">
        <f>IF(M191="",0,M191)</f>
        <v>1450</v>
      </c>
      <c r="O191" t="str">
        <f>IF(L191&lt;0,"NEGATIVE QUANTITY","")</f>
        <v/>
      </c>
      <c r="P191">
        <f t="shared" si="12"/>
        <v>1</v>
      </c>
      <c r="Q191">
        <f>VLOOKUP(H191,'Product Cost Lookup'!A:D,4,FALSE)</f>
        <v>900</v>
      </c>
      <c r="R191" t="str">
        <f>VLOOKUP(H191,'Product Cost Lookup'!A:D,3,FALSE)</f>
        <v>Electronics</v>
      </c>
      <c r="S191">
        <f t="shared" si="13"/>
        <v>1450</v>
      </c>
      <c r="T191">
        <f t="shared" si="14"/>
        <v>900</v>
      </c>
      <c r="U191">
        <f t="shared" si="15"/>
        <v>550</v>
      </c>
      <c r="V191" s="3">
        <f t="shared" si="16"/>
        <v>0.37931034482758619</v>
      </c>
      <c r="W191" t="str">
        <f t="shared" si="17"/>
        <v>Jan</v>
      </c>
    </row>
    <row r="192" spans="1:23">
      <c r="A192">
        <v>10052</v>
      </c>
      <c r="B192" s="1">
        <v>45329</v>
      </c>
      <c r="C192">
        <v>45329</v>
      </c>
      <c r="D192" t="s">
        <v>74</v>
      </c>
      <c r="E192" t="str">
        <f>IF(TRIM(D192)="","Unknown",PROPER(TRIM(D192)))</f>
        <v>Nairobi</v>
      </c>
      <c r="F192" t="s">
        <v>14</v>
      </c>
      <c r="G192" t="str">
        <f>PROPER(TRIM(F192))</f>
        <v>Faith Wanjiru</v>
      </c>
      <c r="H192" t="s">
        <v>93</v>
      </c>
      <c r="I192" t="s">
        <v>141</v>
      </c>
      <c r="J192" t="str">
        <f>PROPER(TRIM(I192))</f>
        <v>Non-Stick Frying Pan 28Cm</v>
      </c>
      <c r="K192">
        <v>5</v>
      </c>
      <c r="L192">
        <f>IF(K192="",0,K192)</f>
        <v>5</v>
      </c>
      <c r="M192">
        <v>1150</v>
      </c>
      <c r="N192">
        <f>IF(M192="",0,M192)</f>
        <v>1150</v>
      </c>
      <c r="O192" t="str">
        <f>IF(L192&lt;0,"NEGATIVE QUANTITY","")</f>
        <v/>
      </c>
      <c r="P192">
        <f t="shared" si="12"/>
        <v>5</v>
      </c>
      <c r="Q192">
        <f>VLOOKUP(H192,'Product Cost Lookup'!A:D,4,FALSE)</f>
        <v>700</v>
      </c>
      <c r="R192" t="str">
        <f>VLOOKUP(H192,'Product Cost Lookup'!A:D,3,FALSE)</f>
        <v>Kitchenware</v>
      </c>
      <c r="S192">
        <f t="shared" si="13"/>
        <v>5750</v>
      </c>
      <c r="T192">
        <f t="shared" si="14"/>
        <v>3500</v>
      </c>
      <c r="U192">
        <f t="shared" si="15"/>
        <v>2250</v>
      </c>
      <c r="V192" s="3">
        <f t="shared" si="16"/>
        <v>0.39130434782608697</v>
      </c>
      <c r="W192" t="str">
        <f t="shared" si="17"/>
        <v>Feb</v>
      </c>
    </row>
    <row r="193" spans="1:23">
      <c r="A193">
        <v>10172</v>
      </c>
      <c r="B193" s="2">
        <v>45314</v>
      </c>
      <c r="C193">
        <v>45314</v>
      </c>
      <c r="D193" t="s">
        <v>19</v>
      </c>
      <c r="E193" t="str">
        <f>IF(TRIM(D193)="","Unknown",PROPER(TRIM(D193)))</f>
        <v>Eldoret</v>
      </c>
      <c r="F193" t="s">
        <v>68</v>
      </c>
      <c r="G193" t="str">
        <f>PROPER(TRIM(F193))</f>
        <v>Peter Otieno</v>
      </c>
      <c r="H193" t="s">
        <v>25</v>
      </c>
      <c r="I193" t="s">
        <v>97</v>
      </c>
      <c r="J193" t="str">
        <f>PROPER(TRIM(I193))</f>
        <v>Plastic Storage Basket (L)</v>
      </c>
      <c r="K193">
        <v>12</v>
      </c>
      <c r="L193">
        <f>IF(K193="",0,K193)</f>
        <v>12</v>
      </c>
      <c r="M193">
        <v>470</v>
      </c>
      <c r="N193">
        <f>IF(M193="",0,M193)</f>
        <v>470</v>
      </c>
      <c r="O193" t="str">
        <f>IF(L193&lt;0,"NEGATIVE QUANTITY","")</f>
        <v/>
      </c>
      <c r="P193">
        <f t="shared" si="12"/>
        <v>12</v>
      </c>
      <c r="Q193">
        <f>VLOOKUP(H193,'Product Cost Lookup'!A:D,4,FALSE)</f>
        <v>250</v>
      </c>
      <c r="R193" t="str">
        <f>VLOOKUP(H193,'Product Cost Lookup'!A:D,3,FALSE)</f>
        <v>Household</v>
      </c>
      <c r="S193">
        <f t="shared" si="13"/>
        <v>5640</v>
      </c>
      <c r="T193">
        <f t="shared" si="14"/>
        <v>3000</v>
      </c>
      <c r="U193">
        <f t="shared" si="15"/>
        <v>2640</v>
      </c>
      <c r="V193" s="3">
        <f t="shared" si="16"/>
        <v>0.46808510638297873</v>
      </c>
      <c r="W193" t="str">
        <f t="shared" si="17"/>
        <v>Jan</v>
      </c>
    </row>
    <row r="194" spans="1:23">
      <c r="A194">
        <v>10254</v>
      </c>
      <c r="B194" s="2">
        <v>45349</v>
      </c>
      <c r="C194">
        <v>45349</v>
      </c>
      <c r="D194" t="s">
        <v>74</v>
      </c>
      <c r="E194" t="str">
        <f>IF(TRIM(D194)="","Unknown",PROPER(TRIM(D194)))</f>
        <v>Nairobi</v>
      </c>
      <c r="F194" t="s">
        <v>81</v>
      </c>
      <c r="G194" t="str">
        <f>PROPER(TRIM(F194))</f>
        <v>Aisha Hassan</v>
      </c>
      <c r="H194" t="s">
        <v>38</v>
      </c>
      <c r="I194" t="s">
        <v>39</v>
      </c>
      <c r="J194" t="str">
        <f>PROPER(TRIM(I194))</f>
        <v>Usb Wall Charger Uc-5</v>
      </c>
      <c r="K194">
        <v>-6</v>
      </c>
      <c r="L194">
        <f>IF(K194="",0,K194)</f>
        <v>-6</v>
      </c>
      <c r="M194">
        <v>450</v>
      </c>
      <c r="N194">
        <f>IF(M194="",0,M194)</f>
        <v>450</v>
      </c>
      <c r="O194" t="str">
        <f>IF(L194&lt;0,"NEGATIVE QUANTITY","")</f>
        <v>NEGATIVE QUANTITY</v>
      </c>
      <c r="P194">
        <f t="shared" ref="P194:P257" si="18">ABS(L194)</f>
        <v>6</v>
      </c>
      <c r="Q194">
        <f>VLOOKUP(H194,'Product Cost Lookup'!A:D,4,FALSE)</f>
        <v>300</v>
      </c>
      <c r="R194" t="str">
        <f>VLOOKUP(H194,'Product Cost Lookup'!A:D,3,FALSE)</f>
        <v>Electronics</v>
      </c>
      <c r="S194">
        <f t="shared" ref="S194:S257" si="19">P194*N194</f>
        <v>2700</v>
      </c>
      <c r="T194">
        <f t="shared" ref="T194:T257" si="20">P194*Q194</f>
        <v>1800</v>
      </c>
      <c r="U194">
        <f t="shared" si="15"/>
        <v>900</v>
      </c>
      <c r="V194" s="3">
        <f t="shared" si="16"/>
        <v>0.33333333333333331</v>
      </c>
      <c r="W194" t="str">
        <f t="shared" si="17"/>
        <v>Feb</v>
      </c>
    </row>
    <row r="195" spans="1:23">
      <c r="A195">
        <v>10057</v>
      </c>
      <c r="B195" s="1">
        <v>45357</v>
      </c>
      <c r="C195">
        <v>45357</v>
      </c>
      <c r="D195" t="s">
        <v>74</v>
      </c>
      <c r="E195" t="str">
        <f>IF(TRIM(D195)="","Unknown",PROPER(TRIM(D195)))</f>
        <v>Nairobi</v>
      </c>
      <c r="F195" t="s">
        <v>81</v>
      </c>
      <c r="G195" t="str">
        <f>PROPER(TRIM(F195))</f>
        <v>Aisha Hassan</v>
      </c>
      <c r="H195" t="s">
        <v>65</v>
      </c>
      <c r="I195" t="s">
        <v>73</v>
      </c>
      <c r="J195" t="str">
        <f>PROPER(TRIM(I195))</f>
        <v>Mosquito Net - Family Size</v>
      </c>
      <c r="K195">
        <v>1</v>
      </c>
      <c r="L195">
        <f>IF(K195="",0,K195)</f>
        <v>1</v>
      </c>
      <c r="M195">
        <v>650</v>
      </c>
      <c r="N195">
        <f>IF(M195="",0,M195)</f>
        <v>650</v>
      </c>
      <c r="O195" t="str">
        <f>IF(L195&lt;0,"NEGATIVE QUANTITY","")</f>
        <v/>
      </c>
      <c r="P195">
        <f t="shared" si="18"/>
        <v>1</v>
      </c>
      <c r="Q195">
        <f>VLOOKUP(H195,'Product Cost Lookup'!A:D,4,FALSE)</f>
        <v>400</v>
      </c>
      <c r="R195" t="str">
        <f>VLOOKUP(H195,'Product Cost Lookup'!A:D,3,FALSE)</f>
        <v>Household</v>
      </c>
      <c r="S195">
        <f t="shared" si="19"/>
        <v>650</v>
      </c>
      <c r="T195">
        <f t="shared" si="20"/>
        <v>400</v>
      </c>
      <c r="U195">
        <f t="shared" ref="U195:U258" si="21">S195-T195</f>
        <v>250</v>
      </c>
      <c r="V195" s="3">
        <f t="shared" ref="V195:V258" si="22">IF(S195=0,0,U195/S195)</f>
        <v>0.38461538461538464</v>
      </c>
      <c r="W195" t="str">
        <f t="shared" ref="W195:W258" si="23">TEXT(C195,"mmm")</f>
        <v>Mar</v>
      </c>
    </row>
    <row r="196" spans="1:23">
      <c r="A196">
        <v>10004</v>
      </c>
      <c r="B196" t="s">
        <v>159</v>
      </c>
      <c r="C196">
        <v>45371</v>
      </c>
      <c r="D196" t="s">
        <v>35</v>
      </c>
      <c r="E196" t="str">
        <f>IF(TRIM(D196)="","Unknown",PROPER(TRIM(D196)))</f>
        <v>Kisumu</v>
      </c>
      <c r="F196" t="s">
        <v>52</v>
      </c>
      <c r="G196" t="str">
        <f>PROPER(TRIM(F196))</f>
        <v>Faith Wanjiru</v>
      </c>
      <c r="H196" t="s">
        <v>30</v>
      </c>
      <c r="I196" t="s">
        <v>31</v>
      </c>
      <c r="J196" t="str">
        <f>PROPER(TRIM(I196))</f>
        <v>Garden Hose 20M</v>
      </c>
      <c r="K196">
        <v>2</v>
      </c>
      <c r="L196">
        <f>IF(K196="",0,K196)</f>
        <v>2</v>
      </c>
      <c r="M196">
        <v>1650</v>
      </c>
      <c r="N196">
        <f>IF(M196="",0,M196)</f>
        <v>1650</v>
      </c>
      <c r="O196" t="str">
        <f>IF(L196&lt;0,"NEGATIVE QUANTITY","")</f>
        <v/>
      </c>
      <c r="P196">
        <f t="shared" si="18"/>
        <v>2</v>
      </c>
      <c r="Q196">
        <f>VLOOKUP(H196,'Product Cost Lookup'!A:D,4,FALSE)</f>
        <v>1100</v>
      </c>
      <c r="R196" t="str">
        <f>VLOOKUP(H196,'Product Cost Lookup'!A:D,3,FALSE)</f>
        <v>Hardware</v>
      </c>
      <c r="S196">
        <f t="shared" si="19"/>
        <v>3300</v>
      </c>
      <c r="T196">
        <f t="shared" si="20"/>
        <v>2200</v>
      </c>
      <c r="U196">
        <f t="shared" si="21"/>
        <v>1100</v>
      </c>
      <c r="V196" s="3">
        <f t="shared" si="22"/>
        <v>0.33333333333333331</v>
      </c>
      <c r="W196" t="str">
        <f t="shared" si="23"/>
        <v>Mar</v>
      </c>
    </row>
    <row r="197" spans="1:23">
      <c r="A197">
        <v>10326</v>
      </c>
      <c r="B197" t="s">
        <v>159</v>
      </c>
      <c r="C197">
        <v>45371</v>
      </c>
      <c r="D197" t="s">
        <v>15</v>
      </c>
      <c r="E197" t="str">
        <f>IF(TRIM(D197)="","Unknown",PROPER(TRIM(D197)))</f>
        <v>Mombasa</v>
      </c>
      <c r="F197" t="s">
        <v>85</v>
      </c>
      <c r="G197" t="str">
        <f>PROPER(TRIM(F197))</f>
        <v>Mercy Njeri</v>
      </c>
      <c r="H197" t="s">
        <v>30</v>
      </c>
      <c r="I197" t="s">
        <v>127</v>
      </c>
      <c r="J197" t="str">
        <f>PROPER(TRIM(I197))</f>
        <v>Garden Hose 20M</v>
      </c>
      <c r="K197">
        <v>2</v>
      </c>
      <c r="L197">
        <f>IF(K197="",0,K197)</f>
        <v>2</v>
      </c>
      <c r="M197">
        <v>1800</v>
      </c>
      <c r="N197">
        <f>IF(M197="",0,M197)</f>
        <v>1800</v>
      </c>
      <c r="O197" t="str">
        <f>IF(L197&lt;0,"NEGATIVE QUANTITY","")</f>
        <v/>
      </c>
      <c r="P197">
        <f t="shared" si="18"/>
        <v>2</v>
      </c>
      <c r="Q197">
        <f>VLOOKUP(H197,'Product Cost Lookup'!A:D,4,FALSE)</f>
        <v>1100</v>
      </c>
      <c r="R197" t="str">
        <f>VLOOKUP(H197,'Product Cost Lookup'!A:D,3,FALSE)</f>
        <v>Hardware</v>
      </c>
      <c r="S197">
        <f t="shared" si="19"/>
        <v>3600</v>
      </c>
      <c r="T197">
        <f t="shared" si="20"/>
        <v>2200</v>
      </c>
      <c r="U197">
        <f t="shared" si="21"/>
        <v>1400</v>
      </c>
      <c r="V197" s="3">
        <f t="shared" si="22"/>
        <v>0.3888888888888889</v>
      </c>
      <c r="W197" t="str">
        <f t="shared" si="23"/>
        <v>Mar</v>
      </c>
    </row>
    <row r="198" spans="1:23">
      <c r="A198">
        <v>10009</v>
      </c>
      <c r="B198" s="1">
        <v>45360</v>
      </c>
      <c r="C198">
        <v>45360</v>
      </c>
      <c r="D198" t="s">
        <v>35</v>
      </c>
      <c r="E198" t="str">
        <f>IF(TRIM(D198)="","Unknown",PROPER(TRIM(D198)))</f>
        <v>Kisumu</v>
      </c>
      <c r="F198" t="s">
        <v>24</v>
      </c>
      <c r="G198" t="str">
        <f>PROPER(TRIM(F198))</f>
        <v>Mercy Njeri</v>
      </c>
      <c r="H198" t="s">
        <v>50</v>
      </c>
      <c r="I198" t="s">
        <v>69</v>
      </c>
      <c r="J198" t="str">
        <f>PROPER(TRIM(I198))</f>
        <v>Solar Lantern Sl-200</v>
      </c>
      <c r="K198">
        <v>5</v>
      </c>
      <c r="L198">
        <f>IF(K198="",0,K198)</f>
        <v>5</v>
      </c>
      <c r="N198">
        <f>IF(M198="",0,M198)</f>
        <v>0</v>
      </c>
      <c r="O198" t="str">
        <f>IF(L198&lt;0,"NEGATIVE QUANTITY","")</f>
        <v/>
      </c>
      <c r="P198">
        <f t="shared" si="18"/>
        <v>5</v>
      </c>
      <c r="Q198">
        <f>VLOOKUP(H198,'Product Cost Lookup'!A:D,4,FALSE)</f>
        <v>900</v>
      </c>
      <c r="R198" t="str">
        <f>VLOOKUP(H198,'Product Cost Lookup'!A:D,3,FALSE)</f>
        <v>Electronics</v>
      </c>
      <c r="S198">
        <f t="shared" si="19"/>
        <v>0</v>
      </c>
      <c r="T198">
        <f t="shared" si="20"/>
        <v>4500</v>
      </c>
      <c r="U198">
        <f t="shared" si="21"/>
        <v>-4500</v>
      </c>
      <c r="V198" s="3">
        <f t="shared" si="22"/>
        <v>0</v>
      </c>
      <c r="W198" t="str">
        <f t="shared" si="23"/>
        <v>Mar</v>
      </c>
    </row>
    <row r="199" spans="1:23">
      <c r="A199">
        <v>10058</v>
      </c>
      <c r="B199" s="1">
        <v>45307</v>
      </c>
      <c r="C199">
        <v>45307</v>
      </c>
      <c r="D199" t="s">
        <v>74</v>
      </c>
      <c r="E199" t="str">
        <f>IF(TRIM(D199)="","Unknown",PROPER(TRIM(D199)))</f>
        <v>Nairobi</v>
      </c>
      <c r="F199" t="s">
        <v>14</v>
      </c>
      <c r="G199" t="str">
        <f>PROPER(TRIM(F199))</f>
        <v>Faith Wanjiru</v>
      </c>
      <c r="H199" t="s">
        <v>30</v>
      </c>
      <c r="I199" t="s">
        <v>31</v>
      </c>
      <c r="J199" t="str">
        <f>PROPER(TRIM(I199))</f>
        <v>Garden Hose 20M</v>
      </c>
      <c r="K199">
        <v>3</v>
      </c>
      <c r="L199">
        <f>IF(K199="",0,K199)</f>
        <v>3</v>
      </c>
      <c r="M199">
        <v>1700</v>
      </c>
      <c r="N199">
        <f>IF(M199="",0,M199)</f>
        <v>1700</v>
      </c>
      <c r="O199" t="str">
        <f>IF(L199&lt;0,"NEGATIVE QUANTITY","")</f>
        <v/>
      </c>
      <c r="P199">
        <f t="shared" si="18"/>
        <v>3</v>
      </c>
      <c r="Q199">
        <f>VLOOKUP(H199,'Product Cost Lookup'!A:D,4,FALSE)</f>
        <v>1100</v>
      </c>
      <c r="R199" t="str">
        <f>VLOOKUP(H199,'Product Cost Lookup'!A:D,3,FALSE)</f>
        <v>Hardware</v>
      </c>
      <c r="S199">
        <f t="shared" si="19"/>
        <v>5100</v>
      </c>
      <c r="T199">
        <f t="shared" si="20"/>
        <v>3300</v>
      </c>
      <c r="U199">
        <f t="shared" si="21"/>
        <v>1800</v>
      </c>
      <c r="V199" s="3">
        <f t="shared" si="22"/>
        <v>0.35294117647058826</v>
      </c>
      <c r="W199" t="str">
        <f t="shared" si="23"/>
        <v>Jan</v>
      </c>
    </row>
    <row r="200" spans="1:23">
      <c r="A200">
        <v>10050</v>
      </c>
      <c r="B200" s="1">
        <v>45311</v>
      </c>
      <c r="C200">
        <v>45311</v>
      </c>
      <c r="D200" t="s">
        <v>19</v>
      </c>
      <c r="E200" t="str">
        <f>IF(TRIM(D200)="","Unknown",PROPER(TRIM(D200)))</f>
        <v>Eldoret</v>
      </c>
      <c r="F200" t="s">
        <v>114</v>
      </c>
      <c r="G200" t="str">
        <f>PROPER(TRIM(F200))</f>
        <v>Samuel Kiptoo</v>
      </c>
      <c r="H200" t="s">
        <v>50</v>
      </c>
      <c r="I200" t="s">
        <v>89</v>
      </c>
      <c r="J200" t="str">
        <f>PROPER(TRIM(I200))</f>
        <v>Solar Lantern Sl-200</v>
      </c>
      <c r="K200">
        <v>4</v>
      </c>
      <c r="L200">
        <f>IF(K200="",0,K200)</f>
        <v>4</v>
      </c>
      <c r="M200">
        <v>1400</v>
      </c>
      <c r="N200">
        <f>IF(M200="",0,M200)</f>
        <v>1400</v>
      </c>
      <c r="O200" t="str">
        <f>IF(L200&lt;0,"NEGATIVE QUANTITY","")</f>
        <v/>
      </c>
      <c r="P200">
        <f t="shared" si="18"/>
        <v>4</v>
      </c>
      <c r="Q200">
        <f>VLOOKUP(H200,'Product Cost Lookup'!A:D,4,FALSE)</f>
        <v>900</v>
      </c>
      <c r="R200" t="str">
        <f>VLOOKUP(H200,'Product Cost Lookup'!A:D,3,FALSE)</f>
        <v>Electronics</v>
      </c>
      <c r="S200">
        <f t="shared" si="19"/>
        <v>5600</v>
      </c>
      <c r="T200">
        <f t="shared" si="20"/>
        <v>3600</v>
      </c>
      <c r="U200">
        <f t="shared" si="21"/>
        <v>2000</v>
      </c>
      <c r="V200" s="3">
        <f t="shared" si="22"/>
        <v>0.35714285714285715</v>
      </c>
      <c r="W200" t="str">
        <f t="shared" si="23"/>
        <v>Jan</v>
      </c>
    </row>
    <row r="201" spans="1:23">
      <c r="A201">
        <v>10042</v>
      </c>
      <c r="B201" t="s">
        <v>107</v>
      </c>
      <c r="C201">
        <v>45305</v>
      </c>
      <c r="D201" t="s">
        <v>29</v>
      </c>
      <c r="E201" t="str">
        <f>IF(TRIM(D201)="","Unknown",PROPER(TRIM(D201)))</f>
        <v>Thika</v>
      </c>
      <c r="F201" t="s">
        <v>136</v>
      </c>
      <c r="G201" t="str">
        <f>PROPER(TRIM(F201))</f>
        <v>Samuel Kiptoo</v>
      </c>
      <c r="H201" t="s">
        <v>55</v>
      </c>
      <c r="I201" t="s">
        <v>160</v>
      </c>
      <c r="J201" t="str">
        <f>PROPER(TRIM(I201))</f>
        <v>Led Bulb 9W (Pack Of 4)</v>
      </c>
      <c r="K201">
        <v>20</v>
      </c>
      <c r="L201">
        <f>IF(K201="",0,K201)</f>
        <v>20</v>
      </c>
      <c r="M201">
        <v>880</v>
      </c>
      <c r="N201">
        <f>IF(M201="",0,M201)</f>
        <v>880</v>
      </c>
      <c r="O201" t="str">
        <f>IF(L201&lt;0,"NEGATIVE QUANTITY","")</f>
        <v/>
      </c>
      <c r="P201">
        <f t="shared" si="18"/>
        <v>20</v>
      </c>
      <c r="Q201">
        <f>VLOOKUP(H201,'Product Cost Lookup'!A:D,4,FALSE)</f>
        <v>480</v>
      </c>
      <c r="R201" t="str">
        <f>VLOOKUP(H201,'Product Cost Lookup'!A:D,3,FALSE)</f>
        <v>Electronics</v>
      </c>
      <c r="S201">
        <f t="shared" si="19"/>
        <v>17600</v>
      </c>
      <c r="T201">
        <f t="shared" si="20"/>
        <v>9600</v>
      </c>
      <c r="U201">
        <f t="shared" si="21"/>
        <v>8000</v>
      </c>
      <c r="V201" s="3">
        <f t="shared" si="22"/>
        <v>0.45454545454545453</v>
      </c>
      <c r="W201" t="str">
        <f t="shared" si="23"/>
        <v>Jan</v>
      </c>
    </row>
    <row r="202" spans="1:23">
      <c r="A202">
        <v>10036</v>
      </c>
      <c r="B202" s="2">
        <v>45366</v>
      </c>
      <c r="C202">
        <v>45366</v>
      </c>
      <c r="D202" t="s">
        <v>101</v>
      </c>
      <c r="E202" t="str">
        <f>IF(TRIM(D202)="","Unknown",PROPER(TRIM(D202)))</f>
        <v>Thika</v>
      </c>
      <c r="F202" t="s">
        <v>62</v>
      </c>
      <c r="G202" t="str">
        <f>PROPER(TRIM(F202))</f>
        <v>John Mwangi</v>
      </c>
      <c r="H202" t="s">
        <v>55</v>
      </c>
      <c r="I202" t="s">
        <v>56</v>
      </c>
      <c r="J202" t="str">
        <f>PROPER(TRIM(I202))</f>
        <v>Led Bulb 9W (Pack Of 4)</v>
      </c>
      <c r="K202">
        <v>15</v>
      </c>
      <c r="L202">
        <f>IF(K202="",0,K202)</f>
        <v>15</v>
      </c>
      <c r="M202">
        <v>830</v>
      </c>
      <c r="N202">
        <f>IF(M202="",0,M202)</f>
        <v>830</v>
      </c>
      <c r="O202" t="str">
        <f>IF(L202&lt;0,"NEGATIVE QUANTITY","")</f>
        <v/>
      </c>
      <c r="P202">
        <f t="shared" si="18"/>
        <v>15</v>
      </c>
      <c r="Q202">
        <f>VLOOKUP(H202,'Product Cost Lookup'!A:D,4,FALSE)</f>
        <v>480</v>
      </c>
      <c r="R202" t="str">
        <f>VLOOKUP(H202,'Product Cost Lookup'!A:D,3,FALSE)</f>
        <v>Electronics</v>
      </c>
      <c r="S202">
        <f t="shared" si="19"/>
        <v>12450</v>
      </c>
      <c r="T202">
        <f t="shared" si="20"/>
        <v>7200</v>
      </c>
      <c r="U202">
        <f t="shared" si="21"/>
        <v>5250</v>
      </c>
      <c r="V202" s="3">
        <f t="shared" si="22"/>
        <v>0.42168674698795183</v>
      </c>
      <c r="W202" t="str">
        <f t="shared" si="23"/>
        <v>Mar</v>
      </c>
    </row>
    <row r="203" spans="1:23">
      <c r="A203">
        <v>10122</v>
      </c>
      <c r="B203" s="1">
        <v>45342</v>
      </c>
      <c r="C203">
        <v>45342</v>
      </c>
      <c r="D203" t="s">
        <v>19</v>
      </c>
      <c r="E203" t="str">
        <f>IF(TRIM(D203)="","Unknown",PROPER(TRIM(D203)))</f>
        <v>Eldoret</v>
      </c>
      <c r="F203" t="s">
        <v>81</v>
      </c>
      <c r="G203" t="str">
        <f>PROPER(TRIM(F203))</f>
        <v>Aisha Hassan</v>
      </c>
      <c r="H203" t="s">
        <v>77</v>
      </c>
      <c r="I203" t="s">
        <v>78</v>
      </c>
      <c r="J203" t="str">
        <f>PROPER(TRIM(I203))</f>
        <v>Cooking Gas Burner Cb-2</v>
      </c>
      <c r="K203">
        <v>4</v>
      </c>
      <c r="L203">
        <f>IF(K203="",0,K203)</f>
        <v>4</v>
      </c>
      <c r="M203">
        <v>1950</v>
      </c>
      <c r="N203">
        <f>IF(M203="",0,M203)</f>
        <v>1950</v>
      </c>
      <c r="O203" t="str">
        <f>IF(L203&lt;0,"NEGATIVE QUANTITY","")</f>
        <v/>
      </c>
      <c r="P203">
        <f t="shared" si="18"/>
        <v>4</v>
      </c>
      <c r="Q203">
        <f>VLOOKUP(H203,'Product Cost Lookup'!A:D,4,FALSE)</f>
        <v>1200</v>
      </c>
      <c r="R203" t="str">
        <f>VLOOKUP(H203,'Product Cost Lookup'!A:D,3,FALSE)</f>
        <v>Kitchenware</v>
      </c>
      <c r="S203">
        <f t="shared" si="19"/>
        <v>7800</v>
      </c>
      <c r="T203">
        <f t="shared" si="20"/>
        <v>4800</v>
      </c>
      <c r="U203">
        <f t="shared" si="21"/>
        <v>3000</v>
      </c>
      <c r="V203" s="3">
        <f t="shared" si="22"/>
        <v>0.38461538461538464</v>
      </c>
      <c r="W203" t="str">
        <f t="shared" si="23"/>
        <v>Feb</v>
      </c>
    </row>
    <row r="204" spans="1:23">
      <c r="A204">
        <v>10126</v>
      </c>
      <c r="B204" s="1">
        <v>45446</v>
      </c>
      <c r="C204">
        <v>45446</v>
      </c>
      <c r="D204" t="s">
        <v>59</v>
      </c>
      <c r="E204" t="str">
        <f>IF(TRIM(D204)="","Unknown",PROPER(TRIM(D204)))</f>
        <v>Eldoret</v>
      </c>
      <c r="F204" t="s">
        <v>81</v>
      </c>
      <c r="G204" t="str">
        <f>PROPER(TRIM(F204))</f>
        <v>Aisha Hassan</v>
      </c>
      <c r="H204" t="s">
        <v>30</v>
      </c>
      <c r="I204" t="s">
        <v>140</v>
      </c>
      <c r="J204" t="str">
        <f>PROPER(TRIM(I204))</f>
        <v>Garden Hose 20M</v>
      </c>
      <c r="K204">
        <v>15</v>
      </c>
      <c r="L204">
        <f>IF(K204="",0,K204)</f>
        <v>15</v>
      </c>
      <c r="N204">
        <f>IF(M204="",0,M204)</f>
        <v>0</v>
      </c>
      <c r="O204" t="str">
        <f>IF(L204&lt;0,"NEGATIVE QUANTITY","")</f>
        <v/>
      </c>
      <c r="P204">
        <f t="shared" si="18"/>
        <v>15</v>
      </c>
      <c r="Q204">
        <f>VLOOKUP(H204,'Product Cost Lookup'!A:D,4,FALSE)</f>
        <v>1100</v>
      </c>
      <c r="R204" t="str">
        <f>VLOOKUP(H204,'Product Cost Lookup'!A:D,3,FALSE)</f>
        <v>Hardware</v>
      </c>
      <c r="S204">
        <f t="shared" si="19"/>
        <v>0</v>
      </c>
      <c r="T204">
        <f t="shared" si="20"/>
        <v>16500</v>
      </c>
      <c r="U204">
        <f t="shared" si="21"/>
        <v>-16500</v>
      </c>
      <c r="V204" s="3">
        <f t="shared" si="22"/>
        <v>0</v>
      </c>
      <c r="W204" t="str">
        <f t="shared" si="23"/>
        <v>Jun</v>
      </c>
    </row>
    <row r="205" spans="1:23">
      <c r="A205">
        <v>10100</v>
      </c>
      <c r="B205" s="2">
        <v>45340</v>
      </c>
      <c r="C205">
        <v>45340</v>
      </c>
      <c r="D205" t="s">
        <v>19</v>
      </c>
      <c r="E205" t="str">
        <f>IF(TRIM(D205)="","Unknown",PROPER(TRIM(D205)))</f>
        <v>Eldoret</v>
      </c>
      <c r="F205" t="s">
        <v>49</v>
      </c>
      <c r="G205" t="str">
        <f>PROPER(TRIM(F205))</f>
        <v>Brian Mutua</v>
      </c>
      <c r="H205" t="s">
        <v>53</v>
      </c>
      <c r="I205" t="s">
        <v>72</v>
      </c>
      <c r="J205" t="str">
        <f>PROPER(TRIM(I205))</f>
        <v>Rechargeable Torch Rt-10</v>
      </c>
      <c r="K205">
        <v>4</v>
      </c>
      <c r="L205">
        <f>IF(K205="",0,K205)</f>
        <v>4</v>
      </c>
      <c r="M205">
        <v>1050</v>
      </c>
      <c r="N205">
        <f>IF(M205="",0,M205)</f>
        <v>1050</v>
      </c>
      <c r="O205" t="str">
        <f>IF(L205&lt;0,"NEGATIVE QUANTITY","")</f>
        <v/>
      </c>
      <c r="P205">
        <f t="shared" si="18"/>
        <v>4</v>
      </c>
      <c r="Q205">
        <f>VLOOKUP(H205,'Product Cost Lookup'!A:D,4,FALSE)</f>
        <v>600</v>
      </c>
      <c r="R205" t="str">
        <f>VLOOKUP(H205,'Product Cost Lookup'!A:D,3,FALSE)</f>
        <v>Electronics</v>
      </c>
      <c r="S205">
        <f t="shared" si="19"/>
        <v>4200</v>
      </c>
      <c r="T205">
        <f t="shared" si="20"/>
        <v>2400</v>
      </c>
      <c r="U205">
        <f t="shared" si="21"/>
        <v>1800</v>
      </c>
      <c r="V205" s="3">
        <f t="shared" si="22"/>
        <v>0.42857142857142855</v>
      </c>
      <c r="W205" t="str">
        <f t="shared" si="23"/>
        <v>Feb</v>
      </c>
    </row>
    <row r="206" spans="1:23">
      <c r="A206">
        <v>10241</v>
      </c>
      <c r="B206" s="1">
        <v>45359</v>
      </c>
      <c r="C206">
        <v>45359</v>
      </c>
      <c r="D206" t="s">
        <v>106</v>
      </c>
      <c r="E206" t="str">
        <f>IF(TRIM(D206)="","Unknown",PROPER(TRIM(D206)))</f>
        <v>Mombasa</v>
      </c>
      <c r="F206" t="s">
        <v>62</v>
      </c>
      <c r="G206" t="str">
        <f>PROPER(TRIM(F206))</f>
        <v>John Mwangi</v>
      </c>
      <c r="H206" t="s">
        <v>33</v>
      </c>
      <c r="I206" t="s">
        <v>60</v>
      </c>
      <c r="J206" t="str">
        <f>PROPER(TRIM(I206))</f>
        <v>Padlock Set (3Pc)</v>
      </c>
      <c r="K206">
        <v>1</v>
      </c>
      <c r="L206">
        <f>IF(K206="",0,K206)</f>
        <v>1</v>
      </c>
      <c r="M206">
        <v>700</v>
      </c>
      <c r="N206">
        <f>IF(M206="",0,M206)</f>
        <v>700</v>
      </c>
      <c r="O206" t="str">
        <f>IF(L206&lt;0,"NEGATIVE QUANTITY","")</f>
        <v/>
      </c>
      <c r="P206">
        <f t="shared" si="18"/>
        <v>1</v>
      </c>
      <c r="Q206">
        <f>VLOOKUP(H206,'Product Cost Lookup'!A:D,4,FALSE)</f>
        <v>450</v>
      </c>
      <c r="R206" t="str">
        <f>VLOOKUP(H206,'Product Cost Lookup'!A:D,3,FALSE)</f>
        <v>Hardware</v>
      </c>
      <c r="S206">
        <f t="shared" si="19"/>
        <v>700</v>
      </c>
      <c r="T206">
        <f t="shared" si="20"/>
        <v>450</v>
      </c>
      <c r="U206">
        <f t="shared" si="21"/>
        <v>250</v>
      </c>
      <c r="V206" s="3">
        <f t="shared" si="22"/>
        <v>0.35714285714285715</v>
      </c>
      <c r="W206" t="str">
        <f t="shared" si="23"/>
        <v>Mar</v>
      </c>
    </row>
    <row r="207" spans="1:23">
      <c r="A207">
        <v>10322</v>
      </c>
      <c r="B207" s="1">
        <v>45327</v>
      </c>
      <c r="C207">
        <v>45327</v>
      </c>
      <c r="D207" t="s">
        <v>19</v>
      </c>
      <c r="E207" t="str">
        <f>IF(TRIM(D207)="","Unknown",PROPER(TRIM(D207)))</f>
        <v>Eldoret</v>
      </c>
      <c r="F207" t="s">
        <v>16</v>
      </c>
      <c r="G207" t="str">
        <f>PROPER(TRIM(F207))</f>
        <v>Grace Achieng</v>
      </c>
      <c r="H207" t="s">
        <v>65</v>
      </c>
      <c r="I207" t="s">
        <v>73</v>
      </c>
      <c r="J207" t="str">
        <f>PROPER(TRIM(I207))</f>
        <v>Mosquito Net - Family Size</v>
      </c>
      <c r="K207">
        <v>4</v>
      </c>
      <c r="L207">
        <f>IF(K207="",0,K207)</f>
        <v>4</v>
      </c>
      <c r="M207">
        <v>600</v>
      </c>
      <c r="N207">
        <f>IF(M207="",0,M207)</f>
        <v>600</v>
      </c>
      <c r="O207" t="str">
        <f>IF(L207&lt;0,"NEGATIVE QUANTITY","")</f>
        <v/>
      </c>
      <c r="P207">
        <f t="shared" si="18"/>
        <v>4</v>
      </c>
      <c r="Q207">
        <f>VLOOKUP(H207,'Product Cost Lookup'!A:D,4,FALSE)</f>
        <v>400</v>
      </c>
      <c r="R207" t="str">
        <f>VLOOKUP(H207,'Product Cost Lookup'!A:D,3,FALSE)</f>
        <v>Household</v>
      </c>
      <c r="S207">
        <f t="shared" si="19"/>
        <v>2400</v>
      </c>
      <c r="T207">
        <f t="shared" si="20"/>
        <v>1600</v>
      </c>
      <c r="U207">
        <f t="shared" si="21"/>
        <v>800</v>
      </c>
      <c r="V207" s="3">
        <f t="shared" si="22"/>
        <v>0.33333333333333331</v>
      </c>
      <c r="W207" t="str">
        <f t="shared" si="23"/>
        <v>Feb</v>
      </c>
    </row>
    <row r="208" spans="1:23">
      <c r="A208">
        <v>10167</v>
      </c>
      <c r="B208" s="1">
        <v>45348</v>
      </c>
      <c r="C208">
        <v>45348</v>
      </c>
      <c r="D208" t="s">
        <v>95</v>
      </c>
      <c r="E208" t="str">
        <f>IF(TRIM(D208)="","Unknown",PROPER(TRIM(D208)))</f>
        <v>Kisumu</v>
      </c>
      <c r="F208" t="s">
        <v>139</v>
      </c>
      <c r="G208" t="str">
        <f>PROPER(TRIM(F208))</f>
        <v>Grace Achieng</v>
      </c>
      <c r="H208" t="s">
        <v>55</v>
      </c>
      <c r="I208" t="s">
        <v>56</v>
      </c>
      <c r="J208" t="str">
        <f>PROPER(TRIM(I208))</f>
        <v>Led Bulb 9W (Pack Of 4)</v>
      </c>
      <c r="K208">
        <v>8</v>
      </c>
      <c r="L208">
        <f>IF(K208="",0,K208)</f>
        <v>8</v>
      </c>
      <c r="M208">
        <v>830</v>
      </c>
      <c r="N208">
        <f>IF(M208="",0,M208)</f>
        <v>830</v>
      </c>
      <c r="O208" t="str">
        <f>IF(L208&lt;0,"NEGATIVE QUANTITY","")</f>
        <v/>
      </c>
      <c r="P208">
        <f t="shared" si="18"/>
        <v>8</v>
      </c>
      <c r="Q208">
        <f>VLOOKUP(H208,'Product Cost Lookup'!A:D,4,FALSE)</f>
        <v>480</v>
      </c>
      <c r="R208" t="str">
        <f>VLOOKUP(H208,'Product Cost Lookup'!A:D,3,FALSE)</f>
        <v>Electronics</v>
      </c>
      <c r="S208">
        <f t="shared" si="19"/>
        <v>6640</v>
      </c>
      <c r="T208">
        <f t="shared" si="20"/>
        <v>3840</v>
      </c>
      <c r="U208">
        <f t="shared" si="21"/>
        <v>2800</v>
      </c>
      <c r="V208" s="3">
        <f t="shared" si="22"/>
        <v>0.42168674698795183</v>
      </c>
      <c r="W208" t="str">
        <f t="shared" si="23"/>
        <v>Feb</v>
      </c>
    </row>
    <row r="209" spans="1:23">
      <c r="A209">
        <v>10183</v>
      </c>
      <c r="B209" s="1">
        <v>45366</v>
      </c>
      <c r="C209">
        <v>45366</v>
      </c>
      <c r="D209" t="s">
        <v>74</v>
      </c>
      <c r="E209" t="str">
        <f>IF(TRIM(D209)="","Unknown",PROPER(TRIM(D209)))</f>
        <v>Nairobi</v>
      </c>
      <c r="F209" t="s">
        <v>16</v>
      </c>
      <c r="G209" t="str">
        <f>PROPER(TRIM(F209))</f>
        <v>Grace Achieng</v>
      </c>
      <c r="H209" t="s">
        <v>30</v>
      </c>
      <c r="I209" t="s">
        <v>31</v>
      </c>
      <c r="J209" t="str">
        <f>PROPER(TRIM(I209))</f>
        <v>Garden Hose 20M</v>
      </c>
      <c r="K209">
        <v>10</v>
      </c>
      <c r="L209">
        <f>IF(K209="",0,K209)</f>
        <v>10</v>
      </c>
      <c r="M209">
        <v>1700</v>
      </c>
      <c r="N209">
        <f>IF(M209="",0,M209)</f>
        <v>1700</v>
      </c>
      <c r="O209" t="str">
        <f>IF(L209&lt;0,"NEGATIVE QUANTITY","")</f>
        <v/>
      </c>
      <c r="P209">
        <f t="shared" si="18"/>
        <v>10</v>
      </c>
      <c r="Q209">
        <f>VLOOKUP(H209,'Product Cost Lookup'!A:D,4,FALSE)</f>
        <v>1100</v>
      </c>
      <c r="R209" t="str">
        <f>VLOOKUP(H209,'Product Cost Lookup'!A:D,3,FALSE)</f>
        <v>Hardware</v>
      </c>
      <c r="S209">
        <f t="shared" si="19"/>
        <v>17000</v>
      </c>
      <c r="T209">
        <f t="shared" si="20"/>
        <v>11000</v>
      </c>
      <c r="U209">
        <f t="shared" si="21"/>
        <v>6000</v>
      </c>
      <c r="V209" s="3">
        <f t="shared" si="22"/>
        <v>0.35294117647058826</v>
      </c>
      <c r="W209" t="str">
        <f t="shared" si="23"/>
        <v>Mar</v>
      </c>
    </row>
    <row r="210" spans="1:23">
      <c r="A210">
        <v>10303</v>
      </c>
      <c r="B210" s="1">
        <v>45376</v>
      </c>
      <c r="C210">
        <v>45376</v>
      </c>
      <c r="D210" t="s">
        <v>41</v>
      </c>
      <c r="E210" t="str">
        <f>IF(TRIM(D210)="","Unknown",PROPER(TRIM(D210)))</f>
        <v>Nakuru</v>
      </c>
      <c r="F210" t="s">
        <v>62</v>
      </c>
      <c r="G210" t="str">
        <f>PROPER(TRIM(F210))</f>
        <v>John Mwangi</v>
      </c>
      <c r="H210" t="s">
        <v>10</v>
      </c>
      <c r="I210" t="s">
        <v>11</v>
      </c>
      <c r="J210" t="str">
        <f>PROPER(TRIM(I210))</f>
        <v>Kitchen Knife Set</v>
      </c>
      <c r="K210">
        <v>12</v>
      </c>
      <c r="L210">
        <f>IF(K210="",0,K210)</f>
        <v>12</v>
      </c>
      <c r="M210">
        <v>1250</v>
      </c>
      <c r="N210">
        <f>IF(M210="",0,M210)</f>
        <v>1250</v>
      </c>
      <c r="O210" t="str">
        <f>IF(L210&lt;0,"NEGATIVE QUANTITY","")</f>
        <v/>
      </c>
      <c r="P210">
        <f t="shared" si="18"/>
        <v>12</v>
      </c>
      <c r="Q210">
        <f>VLOOKUP(H210,'Product Cost Lookup'!A:D,4,FALSE)</f>
        <v>800</v>
      </c>
      <c r="R210" t="str">
        <f>VLOOKUP(H210,'Product Cost Lookup'!A:D,3,FALSE)</f>
        <v>Kitchenware</v>
      </c>
      <c r="S210">
        <f t="shared" si="19"/>
        <v>15000</v>
      </c>
      <c r="T210">
        <f t="shared" si="20"/>
        <v>9600</v>
      </c>
      <c r="U210">
        <f t="shared" si="21"/>
        <v>5400</v>
      </c>
      <c r="V210" s="3">
        <f t="shared" si="22"/>
        <v>0.36</v>
      </c>
      <c r="W210" t="str">
        <f t="shared" si="23"/>
        <v>Mar</v>
      </c>
    </row>
    <row r="211" spans="1:23">
      <c r="A211">
        <v>10304</v>
      </c>
      <c r="B211" s="1">
        <v>45357</v>
      </c>
      <c r="C211">
        <v>45357</v>
      </c>
      <c r="D211" t="s">
        <v>35</v>
      </c>
      <c r="E211" t="str">
        <f>IF(TRIM(D211)="","Unknown",PROPER(TRIM(D211)))</f>
        <v>Kisumu</v>
      </c>
      <c r="F211" t="s">
        <v>135</v>
      </c>
      <c r="G211" t="str">
        <f>PROPER(TRIM(F211))</f>
        <v>Brian Mutua</v>
      </c>
      <c r="H211" t="s">
        <v>77</v>
      </c>
      <c r="I211" t="s">
        <v>78</v>
      </c>
      <c r="J211" t="str">
        <f>PROPER(TRIM(I211))</f>
        <v>Cooking Gas Burner Cb-2</v>
      </c>
      <c r="K211">
        <v>15</v>
      </c>
      <c r="L211">
        <f>IF(K211="",0,K211)</f>
        <v>15</v>
      </c>
      <c r="M211">
        <v>1850</v>
      </c>
      <c r="N211">
        <f>IF(M211="",0,M211)</f>
        <v>1850</v>
      </c>
      <c r="O211" t="str">
        <f>IF(L211&lt;0,"NEGATIVE QUANTITY","")</f>
        <v/>
      </c>
      <c r="P211">
        <f t="shared" si="18"/>
        <v>15</v>
      </c>
      <c r="Q211">
        <f>VLOOKUP(H211,'Product Cost Lookup'!A:D,4,FALSE)</f>
        <v>1200</v>
      </c>
      <c r="R211" t="str">
        <f>VLOOKUP(H211,'Product Cost Lookup'!A:D,3,FALSE)</f>
        <v>Kitchenware</v>
      </c>
      <c r="S211">
        <f t="shared" si="19"/>
        <v>27750</v>
      </c>
      <c r="T211">
        <f t="shared" si="20"/>
        <v>18000</v>
      </c>
      <c r="U211">
        <f t="shared" si="21"/>
        <v>9750</v>
      </c>
      <c r="V211" s="3">
        <f t="shared" si="22"/>
        <v>0.35135135135135137</v>
      </c>
      <c r="W211" t="str">
        <f t="shared" si="23"/>
        <v>Mar</v>
      </c>
    </row>
    <row r="212" spans="1:23">
      <c r="A212">
        <v>10217</v>
      </c>
      <c r="B212" s="1">
        <v>45300</v>
      </c>
      <c r="C212">
        <v>45300</v>
      </c>
      <c r="D212" t="s">
        <v>95</v>
      </c>
      <c r="E212" t="str">
        <f>IF(TRIM(D212)="","Unknown",PROPER(TRIM(D212)))</f>
        <v>Kisumu</v>
      </c>
      <c r="F212" t="s">
        <v>136</v>
      </c>
      <c r="G212" t="str">
        <f>PROPER(TRIM(F212))</f>
        <v>Samuel Kiptoo</v>
      </c>
      <c r="H212" t="s">
        <v>10</v>
      </c>
      <c r="I212" t="s">
        <v>11</v>
      </c>
      <c r="J212" t="str">
        <f>PROPER(TRIM(I212))</f>
        <v>Kitchen Knife Set</v>
      </c>
      <c r="K212">
        <v>2</v>
      </c>
      <c r="L212">
        <f>IF(K212="",0,K212)</f>
        <v>2</v>
      </c>
      <c r="M212">
        <v>1250</v>
      </c>
      <c r="N212">
        <f>IF(M212="",0,M212)</f>
        <v>1250</v>
      </c>
      <c r="O212" t="str">
        <f>IF(L212&lt;0,"NEGATIVE QUANTITY","")</f>
        <v/>
      </c>
      <c r="P212">
        <f t="shared" si="18"/>
        <v>2</v>
      </c>
      <c r="Q212">
        <f>VLOOKUP(H212,'Product Cost Lookup'!A:D,4,FALSE)</f>
        <v>800</v>
      </c>
      <c r="R212" t="str">
        <f>VLOOKUP(H212,'Product Cost Lookup'!A:D,3,FALSE)</f>
        <v>Kitchenware</v>
      </c>
      <c r="S212">
        <f t="shared" si="19"/>
        <v>2500</v>
      </c>
      <c r="T212">
        <f t="shared" si="20"/>
        <v>1600</v>
      </c>
      <c r="U212">
        <f t="shared" si="21"/>
        <v>900</v>
      </c>
      <c r="V212" s="3">
        <f t="shared" si="22"/>
        <v>0.36</v>
      </c>
      <c r="W212" t="str">
        <f t="shared" si="23"/>
        <v>Jan</v>
      </c>
    </row>
    <row r="213" spans="1:23">
      <c r="A213">
        <v>10129</v>
      </c>
      <c r="B213" t="s">
        <v>87</v>
      </c>
      <c r="C213">
        <v>45309</v>
      </c>
      <c r="D213" t="s">
        <v>19</v>
      </c>
      <c r="E213" t="str">
        <f>IF(TRIM(D213)="","Unknown",PROPER(TRIM(D213)))</f>
        <v>Eldoret</v>
      </c>
      <c r="F213" t="s">
        <v>42</v>
      </c>
      <c r="G213" t="str">
        <f>PROPER(TRIM(F213))</f>
        <v>Faith Wanjiru</v>
      </c>
      <c r="H213" t="s">
        <v>111</v>
      </c>
      <c r="I213" t="s">
        <v>112</v>
      </c>
      <c r="J213" t="str">
        <f>PROPER(TRIM(I213))</f>
        <v>Thermos Flask 1L</v>
      </c>
      <c r="K213">
        <v>6</v>
      </c>
      <c r="L213">
        <f>IF(K213="",0,K213)</f>
        <v>6</v>
      </c>
      <c r="M213">
        <v>950</v>
      </c>
      <c r="N213">
        <f>IF(M213="",0,M213)</f>
        <v>950</v>
      </c>
      <c r="O213" t="str">
        <f>IF(L213&lt;0,"NEGATIVE QUANTITY","")</f>
        <v/>
      </c>
      <c r="P213">
        <f t="shared" si="18"/>
        <v>6</v>
      </c>
      <c r="Q213">
        <f>VLOOKUP(H213,'Product Cost Lookup'!A:D,4,FALSE)</f>
        <v>550</v>
      </c>
      <c r="R213" t="str">
        <f>VLOOKUP(H213,'Product Cost Lookup'!A:D,3,FALSE)</f>
        <v>Kitchenware</v>
      </c>
      <c r="S213">
        <f t="shared" si="19"/>
        <v>5700</v>
      </c>
      <c r="T213">
        <f t="shared" si="20"/>
        <v>3300</v>
      </c>
      <c r="U213">
        <f t="shared" si="21"/>
        <v>2400</v>
      </c>
      <c r="V213" s="3">
        <f t="shared" si="22"/>
        <v>0.42105263157894735</v>
      </c>
      <c r="W213" t="str">
        <f t="shared" si="23"/>
        <v>Jan</v>
      </c>
    </row>
    <row r="214" spans="1:23">
      <c r="A214">
        <v>10265</v>
      </c>
      <c r="B214" s="1">
        <v>45348</v>
      </c>
      <c r="C214">
        <v>45348</v>
      </c>
      <c r="D214" t="s">
        <v>47</v>
      </c>
      <c r="E214" t="str">
        <f>IF(TRIM(D214)="","Unknown",PROPER(TRIM(D214)))</f>
        <v>Mombasa</v>
      </c>
      <c r="F214" t="s">
        <v>24</v>
      </c>
      <c r="G214" t="str">
        <f>PROPER(TRIM(F214))</f>
        <v>Mercy Njeri</v>
      </c>
      <c r="H214" t="s">
        <v>10</v>
      </c>
      <c r="I214" t="s">
        <v>11</v>
      </c>
      <c r="J214" t="str">
        <f>PROPER(TRIM(I214))</f>
        <v>Kitchen Knife Set</v>
      </c>
      <c r="K214">
        <v>15</v>
      </c>
      <c r="L214">
        <f>IF(K214="",0,K214)</f>
        <v>15</v>
      </c>
      <c r="M214">
        <v>1400</v>
      </c>
      <c r="N214">
        <f>IF(M214="",0,M214)</f>
        <v>1400</v>
      </c>
      <c r="O214" t="str">
        <f>IF(L214&lt;0,"NEGATIVE QUANTITY","")</f>
        <v/>
      </c>
      <c r="P214">
        <f t="shared" si="18"/>
        <v>15</v>
      </c>
      <c r="Q214">
        <f>VLOOKUP(H214,'Product Cost Lookup'!A:D,4,FALSE)</f>
        <v>800</v>
      </c>
      <c r="R214" t="str">
        <f>VLOOKUP(H214,'Product Cost Lookup'!A:D,3,FALSE)</f>
        <v>Kitchenware</v>
      </c>
      <c r="S214">
        <f t="shared" si="19"/>
        <v>21000</v>
      </c>
      <c r="T214">
        <f t="shared" si="20"/>
        <v>12000</v>
      </c>
      <c r="U214">
        <f t="shared" si="21"/>
        <v>9000</v>
      </c>
      <c r="V214" s="3">
        <f t="shared" si="22"/>
        <v>0.42857142857142855</v>
      </c>
      <c r="W214" t="str">
        <f t="shared" si="23"/>
        <v>Feb</v>
      </c>
    </row>
    <row r="215" spans="1:23">
      <c r="A215">
        <v>10123</v>
      </c>
      <c r="B215" s="2">
        <v>45325</v>
      </c>
      <c r="C215">
        <v>45325</v>
      </c>
      <c r="D215" t="s">
        <v>45</v>
      </c>
      <c r="E215" t="str">
        <f>IF(TRIM(D215)="","Unknown",PROPER(TRIM(D215)))</f>
        <v>Thika</v>
      </c>
      <c r="F215" t="s">
        <v>24</v>
      </c>
      <c r="G215" t="str">
        <f>PROPER(TRIM(F215))</f>
        <v>Mercy Njeri</v>
      </c>
      <c r="H215" t="s">
        <v>10</v>
      </c>
      <c r="I215" t="s">
        <v>11</v>
      </c>
      <c r="J215" t="str">
        <f>PROPER(TRIM(I215))</f>
        <v>Kitchen Knife Set</v>
      </c>
      <c r="K215">
        <v>8</v>
      </c>
      <c r="L215">
        <f>IF(K215="",0,K215)</f>
        <v>8</v>
      </c>
      <c r="M215">
        <v>1300</v>
      </c>
      <c r="N215">
        <f>IF(M215="",0,M215)</f>
        <v>1300</v>
      </c>
      <c r="O215" t="str">
        <f>IF(L215&lt;0,"NEGATIVE QUANTITY","")</f>
        <v/>
      </c>
      <c r="P215">
        <f t="shared" si="18"/>
        <v>8</v>
      </c>
      <c r="Q215">
        <f>VLOOKUP(H215,'Product Cost Lookup'!A:D,4,FALSE)</f>
        <v>800</v>
      </c>
      <c r="R215" t="str">
        <f>VLOOKUP(H215,'Product Cost Lookup'!A:D,3,FALSE)</f>
        <v>Kitchenware</v>
      </c>
      <c r="S215">
        <f t="shared" si="19"/>
        <v>10400</v>
      </c>
      <c r="T215">
        <f t="shared" si="20"/>
        <v>6400</v>
      </c>
      <c r="U215">
        <f t="shared" si="21"/>
        <v>4000</v>
      </c>
      <c r="V215" s="3">
        <f t="shared" si="22"/>
        <v>0.38461538461538464</v>
      </c>
      <c r="W215" t="str">
        <f t="shared" si="23"/>
        <v>Feb</v>
      </c>
    </row>
    <row r="216" spans="1:23">
      <c r="A216">
        <v>10245</v>
      </c>
      <c r="B216" s="1">
        <v>45309</v>
      </c>
      <c r="C216">
        <v>45309</v>
      </c>
      <c r="D216" t="s">
        <v>41</v>
      </c>
      <c r="E216" t="str">
        <f>IF(TRIM(D216)="","Unknown",PROPER(TRIM(D216)))</f>
        <v>Nakuru</v>
      </c>
      <c r="F216" t="s">
        <v>16</v>
      </c>
      <c r="G216" t="str">
        <f>PROPER(TRIM(F216))</f>
        <v>Grace Achieng</v>
      </c>
      <c r="H216" t="s">
        <v>111</v>
      </c>
      <c r="I216" t="s">
        <v>112</v>
      </c>
      <c r="J216" t="str">
        <f>PROPER(TRIM(I216))</f>
        <v>Thermos Flask 1L</v>
      </c>
      <c r="K216">
        <v>15</v>
      </c>
      <c r="L216">
        <f>IF(K216="",0,K216)</f>
        <v>15</v>
      </c>
      <c r="M216">
        <v>850</v>
      </c>
      <c r="N216">
        <f>IF(M216="",0,M216)</f>
        <v>850</v>
      </c>
      <c r="O216" t="str">
        <f>IF(L216&lt;0,"NEGATIVE QUANTITY","")</f>
        <v/>
      </c>
      <c r="P216">
        <f t="shared" si="18"/>
        <v>15</v>
      </c>
      <c r="Q216">
        <f>VLOOKUP(H216,'Product Cost Lookup'!A:D,4,FALSE)</f>
        <v>550</v>
      </c>
      <c r="R216" t="str">
        <f>VLOOKUP(H216,'Product Cost Lookup'!A:D,3,FALSE)</f>
        <v>Kitchenware</v>
      </c>
      <c r="S216">
        <f t="shared" si="19"/>
        <v>12750</v>
      </c>
      <c r="T216">
        <f t="shared" si="20"/>
        <v>8250</v>
      </c>
      <c r="U216">
        <f t="shared" si="21"/>
        <v>4500</v>
      </c>
      <c r="V216" s="3">
        <f t="shared" si="22"/>
        <v>0.35294117647058826</v>
      </c>
      <c r="W216" t="str">
        <f t="shared" si="23"/>
        <v>Jan</v>
      </c>
    </row>
    <row r="217" spans="1:23">
      <c r="A217">
        <v>10177</v>
      </c>
      <c r="B217" s="1">
        <v>45363</v>
      </c>
      <c r="C217">
        <v>45363</v>
      </c>
      <c r="D217" t="s">
        <v>19</v>
      </c>
      <c r="E217" t="str">
        <f>IF(TRIM(D217)="","Unknown",PROPER(TRIM(D217)))</f>
        <v>Eldoret</v>
      </c>
      <c r="F217" t="s">
        <v>81</v>
      </c>
      <c r="G217" t="str">
        <f>PROPER(TRIM(F217))</f>
        <v>Aisha Hassan</v>
      </c>
      <c r="H217" t="s">
        <v>65</v>
      </c>
      <c r="I217" t="s">
        <v>73</v>
      </c>
      <c r="J217" t="str">
        <f>PROPER(TRIM(I217))</f>
        <v>Mosquito Net - Family Size</v>
      </c>
      <c r="K217">
        <v>20</v>
      </c>
      <c r="L217">
        <f>IF(K217="",0,K217)</f>
        <v>20</v>
      </c>
      <c r="M217">
        <v>700</v>
      </c>
      <c r="N217">
        <f>IF(M217="",0,M217)</f>
        <v>700</v>
      </c>
      <c r="O217" t="str">
        <f>IF(L217&lt;0,"NEGATIVE QUANTITY","")</f>
        <v/>
      </c>
      <c r="P217">
        <f t="shared" si="18"/>
        <v>20</v>
      </c>
      <c r="Q217">
        <f>VLOOKUP(H217,'Product Cost Lookup'!A:D,4,FALSE)</f>
        <v>400</v>
      </c>
      <c r="R217" t="str">
        <f>VLOOKUP(H217,'Product Cost Lookup'!A:D,3,FALSE)</f>
        <v>Household</v>
      </c>
      <c r="S217">
        <f t="shared" si="19"/>
        <v>14000</v>
      </c>
      <c r="T217">
        <f t="shared" si="20"/>
        <v>8000</v>
      </c>
      <c r="U217">
        <f t="shared" si="21"/>
        <v>6000</v>
      </c>
      <c r="V217" s="3">
        <f t="shared" si="22"/>
        <v>0.42857142857142855</v>
      </c>
      <c r="W217" t="str">
        <f t="shared" si="23"/>
        <v>Mar</v>
      </c>
    </row>
    <row r="218" spans="1:23">
      <c r="A218">
        <v>10316</v>
      </c>
      <c r="B218" s="2">
        <v>45353</v>
      </c>
      <c r="C218">
        <v>45353</v>
      </c>
      <c r="D218" t="s">
        <v>162</v>
      </c>
      <c r="E218" t="str">
        <f>IF(TRIM(D218)="","Unknown",PROPER(TRIM(D218)))</f>
        <v>Kisumu</v>
      </c>
      <c r="F218" t="s">
        <v>133</v>
      </c>
      <c r="G218" t="str">
        <f>PROPER(TRIM(F218))</f>
        <v>John Mwangi</v>
      </c>
      <c r="H218" t="s">
        <v>10</v>
      </c>
      <c r="I218" t="s">
        <v>147</v>
      </c>
      <c r="J218" t="str">
        <f>PROPER(TRIM(I218))</f>
        <v>Kitchen Knife Set</v>
      </c>
      <c r="K218">
        <v>8</v>
      </c>
      <c r="L218">
        <f>IF(K218="",0,K218)</f>
        <v>8</v>
      </c>
      <c r="M218">
        <v>1300</v>
      </c>
      <c r="N218">
        <f>IF(M218="",0,M218)</f>
        <v>1300</v>
      </c>
      <c r="O218" t="str">
        <f>IF(L218&lt;0,"NEGATIVE QUANTITY","")</f>
        <v/>
      </c>
      <c r="P218">
        <f t="shared" si="18"/>
        <v>8</v>
      </c>
      <c r="Q218">
        <f>VLOOKUP(H218,'Product Cost Lookup'!A:D,4,FALSE)</f>
        <v>800</v>
      </c>
      <c r="R218" t="str">
        <f>VLOOKUP(H218,'Product Cost Lookup'!A:D,3,FALSE)</f>
        <v>Kitchenware</v>
      </c>
      <c r="S218">
        <f t="shared" si="19"/>
        <v>10400</v>
      </c>
      <c r="T218">
        <f t="shared" si="20"/>
        <v>6400</v>
      </c>
      <c r="U218">
        <f t="shared" si="21"/>
        <v>4000</v>
      </c>
      <c r="V218" s="3">
        <f t="shared" si="22"/>
        <v>0.38461538461538464</v>
      </c>
      <c r="W218" t="str">
        <f t="shared" si="23"/>
        <v>Mar</v>
      </c>
    </row>
    <row r="219" spans="1:23">
      <c r="A219">
        <v>10092</v>
      </c>
      <c r="B219" s="1">
        <v>45364</v>
      </c>
      <c r="C219">
        <v>45364</v>
      </c>
      <c r="D219" t="s">
        <v>45</v>
      </c>
      <c r="E219" t="str">
        <f>IF(TRIM(D219)="","Unknown",PROPER(TRIM(D219)))</f>
        <v>Thika</v>
      </c>
      <c r="F219" t="s">
        <v>24</v>
      </c>
      <c r="G219" t="str">
        <f>PROPER(TRIM(F219))</f>
        <v>Mercy Njeri</v>
      </c>
      <c r="H219" t="s">
        <v>55</v>
      </c>
      <c r="I219" t="s">
        <v>163</v>
      </c>
      <c r="J219" t="str">
        <f>PROPER(TRIM(I219))</f>
        <v>Led Bulb 9W (Pack Of 4)</v>
      </c>
      <c r="K219">
        <v>20</v>
      </c>
      <c r="L219">
        <f>IF(K219="",0,K219)</f>
        <v>20</v>
      </c>
      <c r="M219">
        <v>780</v>
      </c>
      <c r="N219">
        <f>IF(M219="",0,M219)</f>
        <v>780</v>
      </c>
      <c r="O219" t="str">
        <f>IF(L219&lt;0,"NEGATIVE QUANTITY","")</f>
        <v/>
      </c>
      <c r="P219">
        <f t="shared" si="18"/>
        <v>20</v>
      </c>
      <c r="Q219">
        <f>VLOOKUP(H219,'Product Cost Lookup'!A:D,4,FALSE)</f>
        <v>480</v>
      </c>
      <c r="R219" t="str">
        <f>VLOOKUP(H219,'Product Cost Lookup'!A:D,3,FALSE)</f>
        <v>Electronics</v>
      </c>
      <c r="S219">
        <f t="shared" si="19"/>
        <v>15600</v>
      </c>
      <c r="T219">
        <f t="shared" si="20"/>
        <v>9600</v>
      </c>
      <c r="U219">
        <f t="shared" si="21"/>
        <v>6000</v>
      </c>
      <c r="V219" s="3">
        <f t="shared" si="22"/>
        <v>0.38461538461538464</v>
      </c>
      <c r="W219" t="str">
        <f t="shared" si="23"/>
        <v>Mar</v>
      </c>
    </row>
    <row r="220" spans="1:23">
      <c r="A220">
        <v>10253</v>
      </c>
      <c r="B220" s="1">
        <v>45313</v>
      </c>
      <c r="C220">
        <v>45313</v>
      </c>
      <c r="D220" t="s">
        <v>74</v>
      </c>
      <c r="E220" t="str">
        <f>IF(TRIM(D220)="","Unknown",PROPER(TRIM(D220)))</f>
        <v>Nairobi</v>
      </c>
      <c r="F220" t="s">
        <v>80</v>
      </c>
      <c r="G220" t="str">
        <f>PROPER(TRIM(F220))</f>
        <v>Aisha Hassan</v>
      </c>
      <c r="H220" t="s">
        <v>25</v>
      </c>
      <c r="I220" t="s">
        <v>75</v>
      </c>
      <c r="J220" t="str">
        <f>PROPER(TRIM(I220))</f>
        <v>Plastic Storage Basket L</v>
      </c>
      <c r="K220">
        <v>4</v>
      </c>
      <c r="L220">
        <f>IF(K220="",0,K220)</f>
        <v>4</v>
      </c>
      <c r="M220">
        <v>420</v>
      </c>
      <c r="N220">
        <f>IF(M220="",0,M220)</f>
        <v>420</v>
      </c>
      <c r="O220" t="str">
        <f>IF(L220&lt;0,"NEGATIVE QUANTITY","")</f>
        <v/>
      </c>
      <c r="P220">
        <f t="shared" si="18"/>
        <v>4</v>
      </c>
      <c r="Q220">
        <f>VLOOKUP(H220,'Product Cost Lookup'!A:D,4,FALSE)</f>
        <v>250</v>
      </c>
      <c r="R220" t="str">
        <f>VLOOKUP(H220,'Product Cost Lookup'!A:D,3,FALSE)</f>
        <v>Household</v>
      </c>
      <c r="S220">
        <f t="shared" si="19"/>
        <v>1680</v>
      </c>
      <c r="T220">
        <f t="shared" si="20"/>
        <v>1000</v>
      </c>
      <c r="U220">
        <f t="shared" si="21"/>
        <v>680</v>
      </c>
      <c r="V220" s="3">
        <f t="shared" si="22"/>
        <v>0.40476190476190477</v>
      </c>
      <c r="W220" t="str">
        <f t="shared" si="23"/>
        <v>Jan</v>
      </c>
    </row>
    <row r="221" spans="1:23">
      <c r="A221">
        <v>10279</v>
      </c>
      <c r="B221" s="2">
        <v>45338</v>
      </c>
      <c r="C221">
        <v>45338</v>
      </c>
      <c r="D221" t="s">
        <v>15</v>
      </c>
      <c r="E221" t="str">
        <f>IF(TRIM(D221)="","Unknown",PROPER(TRIM(D221)))</f>
        <v>Mombasa</v>
      </c>
      <c r="F221" t="s">
        <v>24</v>
      </c>
      <c r="G221" t="str">
        <f>PROPER(TRIM(F221))</f>
        <v>Mercy Njeri</v>
      </c>
      <c r="H221" t="s">
        <v>21</v>
      </c>
      <c r="I221" t="s">
        <v>22</v>
      </c>
      <c r="J221" t="str">
        <f>PROPER(TRIM(I221))</f>
        <v>Water Dispenser Stand</v>
      </c>
      <c r="K221">
        <v>10</v>
      </c>
      <c r="L221">
        <f>IF(K221="",0,K221)</f>
        <v>10</v>
      </c>
      <c r="M221">
        <v>2350</v>
      </c>
      <c r="N221">
        <f>IF(M221="",0,M221)</f>
        <v>2350</v>
      </c>
      <c r="O221" t="str">
        <f>IF(L221&lt;0,"NEGATIVE QUANTITY","")</f>
        <v/>
      </c>
      <c r="P221">
        <f t="shared" si="18"/>
        <v>10</v>
      </c>
      <c r="Q221">
        <f>VLOOKUP(H221,'Product Cost Lookup'!A:D,4,FALSE)</f>
        <v>1500</v>
      </c>
      <c r="R221" t="str">
        <f>VLOOKUP(H221,'Product Cost Lookup'!A:D,3,FALSE)</f>
        <v>Household</v>
      </c>
      <c r="S221">
        <f t="shared" si="19"/>
        <v>23500</v>
      </c>
      <c r="T221">
        <f t="shared" si="20"/>
        <v>15000</v>
      </c>
      <c r="U221">
        <f t="shared" si="21"/>
        <v>8500</v>
      </c>
      <c r="V221" s="3">
        <f t="shared" si="22"/>
        <v>0.36170212765957449</v>
      </c>
      <c r="W221" t="str">
        <f t="shared" si="23"/>
        <v>Feb</v>
      </c>
    </row>
    <row r="222" spans="1:23">
      <c r="A222">
        <v>10232</v>
      </c>
      <c r="B222" t="s">
        <v>164</v>
      </c>
      <c r="C222">
        <v>45374</v>
      </c>
      <c r="D222" t="s">
        <v>15</v>
      </c>
      <c r="E222" t="str">
        <f>IF(TRIM(D222)="","Unknown",PROPER(TRIM(D222)))</f>
        <v>Mombasa</v>
      </c>
      <c r="F222" t="s">
        <v>43</v>
      </c>
      <c r="G222" t="str">
        <f>PROPER(TRIM(F222))</f>
        <v>Faith Wanjiru</v>
      </c>
      <c r="H222" t="s">
        <v>93</v>
      </c>
      <c r="I222" t="s">
        <v>141</v>
      </c>
      <c r="J222" t="str">
        <f>PROPER(TRIM(I222))</f>
        <v>Non-Stick Frying Pan 28Cm</v>
      </c>
      <c r="K222">
        <v>20</v>
      </c>
      <c r="L222">
        <f>IF(K222="",0,K222)</f>
        <v>20</v>
      </c>
      <c r="M222">
        <v>1150</v>
      </c>
      <c r="N222">
        <f>IF(M222="",0,M222)</f>
        <v>1150</v>
      </c>
      <c r="O222" t="str">
        <f>IF(L222&lt;0,"NEGATIVE QUANTITY","")</f>
        <v/>
      </c>
      <c r="P222">
        <f t="shared" si="18"/>
        <v>20</v>
      </c>
      <c r="Q222">
        <f>VLOOKUP(H222,'Product Cost Lookup'!A:D,4,FALSE)</f>
        <v>700</v>
      </c>
      <c r="R222" t="str">
        <f>VLOOKUP(H222,'Product Cost Lookup'!A:D,3,FALSE)</f>
        <v>Kitchenware</v>
      </c>
      <c r="S222">
        <f t="shared" si="19"/>
        <v>23000</v>
      </c>
      <c r="T222">
        <f t="shared" si="20"/>
        <v>14000</v>
      </c>
      <c r="U222">
        <f t="shared" si="21"/>
        <v>9000</v>
      </c>
      <c r="V222" s="3">
        <f t="shared" si="22"/>
        <v>0.39130434782608697</v>
      </c>
      <c r="W222" t="str">
        <f t="shared" si="23"/>
        <v>Mar</v>
      </c>
    </row>
    <row r="223" spans="1:23">
      <c r="A223">
        <v>10153</v>
      </c>
      <c r="B223" s="1">
        <v>45361</v>
      </c>
      <c r="C223">
        <v>45361</v>
      </c>
      <c r="D223" t="s">
        <v>40</v>
      </c>
      <c r="E223" t="str">
        <f>IF(TRIM(D223)="","Unknown",PROPER(TRIM(D223)))</f>
        <v>Thika</v>
      </c>
      <c r="F223" t="s">
        <v>62</v>
      </c>
      <c r="G223" t="str">
        <f>PROPER(TRIM(F223))</f>
        <v>John Mwangi</v>
      </c>
      <c r="H223" t="s">
        <v>111</v>
      </c>
      <c r="I223" t="s">
        <v>112</v>
      </c>
      <c r="J223" t="str">
        <f>PROPER(TRIM(I223))</f>
        <v>Thermos Flask 1L</v>
      </c>
      <c r="K223">
        <v>1</v>
      </c>
      <c r="L223">
        <f>IF(K223="",0,K223)</f>
        <v>1</v>
      </c>
      <c r="M223">
        <v>850</v>
      </c>
      <c r="N223">
        <f>IF(M223="",0,M223)</f>
        <v>850</v>
      </c>
      <c r="O223" t="str">
        <f>IF(L223&lt;0,"NEGATIVE QUANTITY","")</f>
        <v/>
      </c>
      <c r="P223">
        <f t="shared" si="18"/>
        <v>1</v>
      </c>
      <c r="Q223">
        <f>VLOOKUP(H223,'Product Cost Lookup'!A:D,4,FALSE)</f>
        <v>550</v>
      </c>
      <c r="R223" t="str">
        <f>VLOOKUP(H223,'Product Cost Lookup'!A:D,3,FALSE)</f>
        <v>Kitchenware</v>
      </c>
      <c r="S223">
        <f t="shared" si="19"/>
        <v>850</v>
      </c>
      <c r="T223">
        <f t="shared" si="20"/>
        <v>550</v>
      </c>
      <c r="U223">
        <f t="shared" si="21"/>
        <v>300</v>
      </c>
      <c r="V223" s="3">
        <f t="shared" si="22"/>
        <v>0.35294117647058826</v>
      </c>
      <c r="W223" t="str">
        <f t="shared" si="23"/>
        <v>Mar</v>
      </c>
    </row>
    <row r="224" spans="1:23">
      <c r="A224">
        <v>10060</v>
      </c>
      <c r="B224" s="1">
        <v>45345</v>
      </c>
      <c r="C224">
        <v>45345</v>
      </c>
      <c r="D224" t="s">
        <v>35</v>
      </c>
      <c r="E224" t="str">
        <f>IF(TRIM(D224)="","Unknown",PROPER(TRIM(D224)))</f>
        <v>Kisumu</v>
      </c>
      <c r="F224" t="s">
        <v>46</v>
      </c>
      <c r="G224" t="str">
        <f>PROPER(TRIM(F224))</f>
        <v>Samuel Kiptoo</v>
      </c>
      <c r="H224" t="s">
        <v>55</v>
      </c>
      <c r="I224" t="s">
        <v>56</v>
      </c>
      <c r="J224" t="str">
        <f>PROPER(TRIM(I224))</f>
        <v>Led Bulb 9W (Pack Of 4)</v>
      </c>
      <c r="K224">
        <v>1</v>
      </c>
      <c r="L224">
        <f>IF(K224="",0,K224)</f>
        <v>1</v>
      </c>
      <c r="M224">
        <v>780</v>
      </c>
      <c r="N224">
        <f>IF(M224="",0,M224)</f>
        <v>780</v>
      </c>
      <c r="O224" t="str">
        <f>IF(L224&lt;0,"NEGATIVE QUANTITY","")</f>
        <v/>
      </c>
      <c r="P224">
        <f t="shared" si="18"/>
        <v>1</v>
      </c>
      <c r="Q224">
        <f>VLOOKUP(H224,'Product Cost Lookup'!A:D,4,FALSE)</f>
        <v>480</v>
      </c>
      <c r="R224" t="str">
        <f>VLOOKUP(H224,'Product Cost Lookup'!A:D,3,FALSE)</f>
        <v>Electronics</v>
      </c>
      <c r="S224">
        <f t="shared" si="19"/>
        <v>780</v>
      </c>
      <c r="T224">
        <f t="shared" si="20"/>
        <v>480</v>
      </c>
      <c r="U224">
        <f t="shared" si="21"/>
        <v>300</v>
      </c>
      <c r="V224" s="3">
        <f t="shared" si="22"/>
        <v>0.38461538461538464</v>
      </c>
      <c r="W224" t="str">
        <f t="shared" si="23"/>
        <v>Feb</v>
      </c>
    </row>
    <row r="225" spans="1:23">
      <c r="A225">
        <v>10238</v>
      </c>
      <c r="B225" s="1">
        <v>45307</v>
      </c>
      <c r="C225">
        <v>45307</v>
      </c>
      <c r="D225" t="s">
        <v>41</v>
      </c>
      <c r="E225" t="str">
        <f>IF(TRIM(D225)="","Unknown",PROPER(TRIM(D225)))</f>
        <v>Nakuru</v>
      </c>
      <c r="F225" t="s">
        <v>149</v>
      </c>
      <c r="G225" t="str">
        <f>PROPER(TRIM(F225))</f>
        <v>John Mwangi</v>
      </c>
      <c r="H225" t="s">
        <v>55</v>
      </c>
      <c r="I225" t="s">
        <v>56</v>
      </c>
      <c r="J225" t="str">
        <f>PROPER(TRIM(I225))</f>
        <v>Led Bulb 9W (Pack Of 4)</v>
      </c>
      <c r="K225">
        <v>20</v>
      </c>
      <c r="L225">
        <f>IF(K225="",0,K225)</f>
        <v>20</v>
      </c>
      <c r="M225">
        <v>880</v>
      </c>
      <c r="N225">
        <f>IF(M225="",0,M225)</f>
        <v>880</v>
      </c>
      <c r="O225" t="str">
        <f>IF(L225&lt;0,"NEGATIVE QUANTITY","")</f>
        <v/>
      </c>
      <c r="P225">
        <f t="shared" si="18"/>
        <v>20</v>
      </c>
      <c r="Q225">
        <f>VLOOKUP(H225,'Product Cost Lookup'!A:D,4,FALSE)</f>
        <v>480</v>
      </c>
      <c r="R225" t="str">
        <f>VLOOKUP(H225,'Product Cost Lookup'!A:D,3,FALSE)</f>
        <v>Electronics</v>
      </c>
      <c r="S225">
        <f t="shared" si="19"/>
        <v>17600</v>
      </c>
      <c r="T225">
        <f t="shared" si="20"/>
        <v>9600</v>
      </c>
      <c r="U225">
        <f t="shared" si="21"/>
        <v>8000</v>
      </c>
      <c r="V225" s="3">
        <f t="shared" si="22"/>
        <v>0.45454545454545453</v>
      </c>
      <c r="W225" t="str">
        <f t="shared" si="23"/>
        <v>Jan</v>
      </c>
    </row>
    <row r="226" spans="1:23">
      <c r="A226">
        <v>10256</v>
      </c>
      <c r="B226" s="1">
        <v>45349</v>
      </c>
      <c r="C226">
        <v>45349</v>
      </c>
      <c r="D226" t="s">
        <v>74</v>
      </c>
      <c r="E226" t="str">
        <f>IF(TRIM(D226)="","Unknown",PROPER(TRIM(D226)))</f>
        <v>Nairobi</v>
      </c>
      <c r="F226" t="s">
        <v>16</v>
      </c>
      <c r="G226" t="str">
        <f>PROPER(TRIM(F226))</f>
        <v>Grace Achieng</v>
      </c>
      <c r="H226" t="s">
        <v>10</v>
      </c>
      <c r="I226" t="s">
        <v>11</v>
      </c>
      <c r="J226" t="str">
        <f>PROPER(TRIM(I226))</f>
        <v>Kitchen Knife Set</v>
      </c>
      <c r="L226">
        <f>IF(K226="",0,K226)</f>
        <v>0</v>
      </c>
      <c r="M226">
        <v>1300</v>
      </c>
      <c r="N226">
        <f>IF(M226="",0,M226)</f>
        <v>1300</v>
      </c>
      <c r="O226" t="str">
        <f>IF(L226&lt;0,"NEGATIVE QUANTITY","")</f>
        <v/>
      </c>
      <c r="P226">
        <f t="shared" si="18"/>
        <v>0</v>
      </c>
      <c r="Q226">
        <f>VLOOKUP(H226,'Product Cost Lookup'!A:D,4,FALSE)</f>
        <v>800</v>
      </c>
      <c r="R226" t="str">
        <f>VLOOKUP(H226,'Product Cost Lookup'!A:D,3,FALSE)</f>
        <v>Kitchenware</v>
      </c>
      <c r="S226">
        <f t="shared" si="19"/>
        <v>0</v>
      </c>
      <c r="T226">
        <f t="shared" si="20"/>
        <v>0</v>
      </c>
      <c r="U226">
        <f t="shared" si="21"/>
        <v>0</v>
      </c>
      <c r="V226" s="3">
        <f t="shared" si="22"/>
        <v>0</v>
      </c>
      <c r="W226" t="str">
        <f t="shared" si="23"/>
        <v>Feb</v>
      </c>
    </row>
    <row r="227" spans="1:23">
      <c r="A227">
        <v>10069</v>
      </c>
      <c r="B227" s="1">
        <v>45309</v>
      </c>
      <c r="C227">
        <v>45309</v>
      </c>
      <c r="D227" t="s">
        <v>40</v>
      </c>
      <c r="E227" t="str">
        <f>IF(TRIM(D227)="","Unknown",PROPER(TRIM(D227)))</f>
        <v>Thika</v>
      </c>
      <c r="F227" t="s">
        <v>134</v>
      </c>
      <c r="G227" t="str">
        <f>PROPER(TRIM(F227))</f>
        <v>Grace Achieng</v>
      </c>
      <c r="H227" t="s">
        <v>21</v>
      </c>
      <c r="I227" t="s">
        <v>22</v>
      </c>
      <c r="J227" t="str">
        <f>PROPER(TRIM(I227))</f>
        <v>Water Dispenser Stand</v>
      </c>
      <c r="K227">
        <v>20</v>
      </c>
      <c r="L227">
        <f>IF(K227="",0,K227)</f>
        <v>20</v>
      </c>
      <c r="M227">
        <v>2250</v>
      </c>
      <c r="N227">
        <f>IF(M227="",0,M227)</f>
        <v>2250</v>
      </c>
      <c r="O227" t="str">
        <f>IF(L227&lt;0,"NEGATIVE QUANTITY","")</f>
        <v/>
      </c>
      <c r="P227">
        <f t="shared" si="18"/>
        <v>20</v>
      </c>
      <c r="Q227">
        <f>VLOOKUP(H227,'Product Cost Lookup'!A:D,4,FALSE)</f>
        <v>1500</v>
      </c>
      <c r="R227" t="str">
        <f>VLOOKUP(H227,'Product Cost Lookup'!A:D,3,FALSE)</f>
        <v>Household</v>
      </c>
      <c r="S227">
        <f t="shared" si="19"/>
        <v>45000</v>
      </c>
      <c r="T227">
        <f t="shared" si="20"/>
        <v>30000</v>
      </c>
      <c r="U227">
        <f t="shared" si="21"/>
        <v>15000</v>
      </c>
      <c r="V227" s="3">
        <f t="shared" si="22"/>
        <v>0.33333333333333331</v>
      </c>
      <c r="W227" t="str">
        <f t="shared" si="23"/>
        <v>Jan</v>
      </c>
    </row>
    <row r="228" spans="1:23">
      <c r="A228">
        <v>10158</v>
      </c>
      <c r="B228" s="1">
        <v>45318</v>
      </c>
      <c r="C228">
        <v>45318</v>
      </c>
      <c r="D228" t="s">
        <v>19</v>
      </c>
      <c r="E228" t="str">
        <f>IF(TRIM(D228)="","Unknown",PROPER(TRIM(D228)))</f>
        <v>Eldoret</v>
      </c>
      <c r="F228" t="s">
        <v>9</v>
      </c>
      <c r="G228" t="str">
        <f>PROPER(TRIM(F228))</f>
        <v>Peter Otieno</v>
      </c>
      <c r="H228" t="s">
        <v>10</v>
      </c>
      <c r="I228" t="s">
        <v>11</v>
      </c>
      <c r="J228" t="str">
        <f>PROPER(TRIM(I228))</f>
        <v>Kitchen Knife Set</v>
      </c>
      <c r="K228">
        <v>8</v>
      </c>
      <c r="L228">
        <f>IF(K228="",0,K228)</f>
        <v>8</v>
      </c>
      <c r="M228">
        <v>1250</v>
      </c>
      <c r="N228">
        <f>IF(M228="",0,M228)</f>
        <v>1250</v>
      </c>
      <c r="O228" t="str">
        <f>IF(L228&lt;0,"NEGATIVE QUANTITY","")</f>
        <v/>
      </c>
      <c r="P228">
        <f t="shared" si="18"/>
        <v>8</v>
      </c>
      <c r="Q228">
        <f>VLOOKUP(H228,'Product Cost Lookup'!A:D,4,FALSE)</f>
        <v>800</v>
      </c>
      <c r="R228" t="str">
        <f>VLOOKUP(H228,'Product Cost Lookup'!A:D,3,FALSE)</f>
        <v>Kitchenware</v>
      </c>
      <c r="S228">
        <f t="shared" si="19"/>
        <v>10000</v>
      </c>
      <c r="T228">
        <f t="shared" si="20"/>
        <v>6400</v>
      </c>
      <c r="U228">
        <f t="shared" si="21"/>
        <v>3600</v>
      </c>
      <c r="V228" s="3">
        <f t="shared" si="22"/>
        <v>0.36</v>
      </c>
      <c r="W228" t="str">
        <f t="shared" si="23"/>
        <v>Jan</v>
      </c>
    </row>
    <row r="229" spans="1:23">
      <c r="A229">
        <v>10313</v>
      </c>
      <c r="B229" s="2">
        <v>45371</v>
      </c>
      <c r="C229">
        <v>45371</v>
      </c>
      <c r="D229" t="s">
        <v>106</v>
      </c>
      <c r="E229" t="str">
        <f>IF(TRIM(D229)="","Unknown",PROPER(TRIM(D229)))</f>
        <v>Mombasa</v>
      </c>
      <c r="F229" t="s">
        <v>20</v>
      </c>
      <c r="G229" t="str">
        <f>PROPER(TRIM(F229))</f>
        <v>Grace Achieng</v>
      </c>
      <c r="H229" t="s">
        <v>33</v>
      </c>
      <c r="I229" t="s">
        <v>60</v>
      </c>
      <c r="J229" t="str">
        <f>PROPER(TRIM(I229))</f>
        <v>Padlock Set (3Pc)</v>
      </c>
      <c r="K229">
        <v>8</v>
      </c>
      <c r="L229">
        <f>IF(K229="",0,K229)</f>
        <v>8</v>
      </c>
      <c r="M229">
        <v>700</v>
      </c>
      <c r="N229">
        <f>IF(M229="",0,M229)</f>
        <v>700</v>
      </c>
      <c r="O229" t="str">
        <f>IF(L229&lt;0,"NEGATIVE QUANTITY","")</f>
        <v/>
      </c>
      <c r="P229">
        <f t="shared" si="18"/>
        <v>8</v>
      </c>
      <c r="Q229">
        <f>VLOOKUP(H229,'Product Cost Lookup'!A:D,4,FALSE)</f>
        <v>450</v>
      </c>
      <c r="R229" t="str">
        <f>VLOOKUP(H229,'Product Cost Lookup'!A:D,3,FALSE)</f>
        <v>Hardware</v>
      </c>
      <c r="S229">
        <f t="shared" si="19"/>
        <v>5600</v>
      </c>
      <c r="T229">
        <f t="shared" si="20"/>
        <v>3600</v>
      </c>
      <c r="U229">
        <f t="shared" si="21"/>
        <v>2000</v>
      </c>
      <c r="V229" s="3">
        <f t="shared" si="22"/>
        <v>0.35714285714285715</v>
      </c>
      <c r="W229" t="str">
        <f t="shared" si="23"/>
        <v>Mar</v>
      </c>
    </row>
    <row r="230" spans="1:23">
      <c r="A230">
        <v>10318</v>
      </c>
      <c r="B230" s="1">
        <v>45333</v>
      </c>
      <c r="C230">
        <v>45333</v>
      </c>
      <c r="D230" t="s">
        <v>74</v>
      </c>
      <c r="E230" t="str">
        <f>IF(TRIM(D230)="","Unknown",PROPER(TRIM(D230)))</f>
        <v>Nairobi</v>
      </c>
      <c r="F230" t="s">
        <v>36</v>
      </c>
      <c r="G230" t="str">
        <f>PROPER(TRIM(F230))</f>
        <v>Peter Otieno</v>
      </c>
      <c r="H230" t="s">
        <v>17</v>
      </c>
      <c r="I230" t="s">
        <v>18</v>
      </c>
      <c r="J230" t="str">
        <f>PROPER(TRIM(I230))</f>
        <v>20L Jerrycan - Blue</v>
      </c>
      <c r="K230">
        <v>12</v>
      </c>
      <c r="L230">
        <f>IF(K230="",0,K230)</f>
        <v>12</v>
      </c>
      <c r="M230">
        <v>500</v>
      </c>
      <c r="N230">
        <f>IF(M230="",0,M230)</f>
        <v>500</v>
      </c>
      <c r="O230" t="str">
        <f>IF(L230&lt;0,"NEGATIVE QUANTITY","")</f>
        <v/>
      </c>
      <c r="P230">
        <f t="shared" si="18"/>
        <v>12</v>
      </c>
      <c r="Q230">
        <f>VLOOKUP(H230,'Product Cost Lookup'!A:D,4,FALSE)</f>
        <v>350</v>
      </c>
      <c r="R230" t="str">
        <f>VLOOKUP(H230,'Product Cost Lookup'!A:D,3,FALSE)</f>
        <v>Household</v>
      </c>
      <c r="S230">
        <f t="shared" si="19"/>
        <v>6000</v>
      </c>
      <c r="T230">
        <f t="shared" si="20"/>
        <v>4200</v>
      </c>
      <c r="U230">
        <f t="shared" si="21"/>
        <v>1800</v>
      </c>
      <c r="V230" s="3">
        <f t="shared" si="22"/>
        <v>0.3</v>
      </c>
      <c r="W230" t="str">
        <f t="shared" si="23"/>
        <v>Feb</v>
      </c>
    </row>
    <row r="231" spans="1:23">
      <c r="A231">
        <v>10007</v>
      </c>
      <c r="B231" s="1">
        <v>45325</v>
      </c>
      <c r="C231">
        <v>45325</v>
      </c>
      <c r="D231" t="s">
        <v>37</v>
      </c>
      <c r="E231" t="str">
        <f>IF(TRIM(D231)="","Unknown",PROPER(TRIM(D231)))</f>
        <v>Mombasa</v>
      </c>
      <c r="F231" t="s">
        <v>52</v>
      </c>
      <c r="G231" t="str">
        <f>PROPER(TRIM(F231))</f>
        <v>Faith Wanjiru</v>
      </c>
      <c r="H231" t="s">
        <v>30</v>
      </c>
      <c r="I231" t="s">
        <v>127</v>
      </c>
      <c r="J231" t="str">
        <f>PROPER(TRIM(I231))</f>
        <v>Garden Hose 20M</v>
      </c>
      <c r="K231">
        <v>12</v>
      </c>
      <c r="L231">
        <f>IF(K231="",0,K231)</f>
        <v>12</v>
      </c>
      <c r="M231">
        <v>1800</v>
      </c>
      <c r="N231">
        <f>IF(M231="",0,M231)</f>
        <v>1800</v>
      </c>
      <c r="O231" t="str">
        <f>IF(L231&lt;0,"NEGATIVE QUANTITY","")</f>
        <v/>
      </c>
      <c r="P231">
        <f t="shared" si="18"/>
        <v>12</v>
      </c>
      <c r="Q231">
        <f>VLOOKUP(H231,'Product Cost Lookup'!A:D,4,FALSE)</f>
        <v>1100</v>
      </c>
      <c r="R231" t="str">
        <f>VLOOKUP(H231,'Product Cost Lookup'!A:D,3,FALSE)</f>
        <v>Hardware</v>
      </c>
      <c r="S231">
        <f t="shared" si="19"/>
        <v>21600</v>
      </c>
      <c r="T231">
        <f t="shared" si="20"/>
        <v>13200</v>
      </c>
      <c r="U231">
        <f t="shared" si="21"/>
        <v>8400</v>
      </c>
      <c r="V231" s="3">
        <f t="shared" si="22"/>
        <v>0.3888888888888889</v>
      </c>
      <c r="W231" t="str">
        <f t="shared" si="23"/>
        <v>Feb</v>
      </c>
    </row>
    <row r="232" spans="1:23">
      <c r="A232">
        <v>10048</v>
      </c>
      <c r="B232" s="1">
        <v>45304</v>
      </c>
      <c r="C232">
        <v>45304</v>
      </c>
      <c r="D232" t="s">
        <v>15</v>
      </c>
      <c r="E232" t="str">
        <f>IF(TRIM(D232)="","Unknown",PROPER(TRIM(D232)))</f>
        <v>Mombasa</v>
      </c>
      <c r="F232" t="s">
        <v>46</v>
      </c>
      <c r="G232" t="str">
        <f>PROPER(TRIM(F232))</f>
        <v>Samuel Kiptoo</v>
      </c>
      <c r="H232" t="s">
        <v>77</v>
      </c>
      <c r="I232" t="s">
        <v>78</v>
      </c>
      <c r="J232" t="str">
        <f>PROPER(TRIM(I232))</f>
        <v>Cooking Gas Burner Cb-2</v>
      </c>
      <c r="K232">
        <v>6</v>
      </c>
      <c r="L232">
        <f>IF(K232="",0,K232)</f>
        <v>6</v>
      </c>
      <c r="M232">
        <v>1850</v>
      </c>
      <c r="N232">
        <f>IF(M232="",0,M232)</f>
        <v>1850</v>
      </c>
      <c r="O232" t="str">
        <f>IF(L232&lt;0,"NEGATIVE QUANTITY","")</f>
        <v/>
      </c>
      <c r="P232">
        <f t="shared" si="18"/>
        <v>6</v>
      </c>
      <c r="Q232">
        <f>VLOOKUP(H232,'Product Cost Lookup'!A:D,4,FALSE)</f>
        <v>1200</v>
      </c>
      <c r="R232" t="str">
        <f>VLOOKUP(H232,'Product Cost Lookup'!A:D,3,FALSE)</f>
        <v>Kitchenware</v>
      </c>
      <c r="S232">
        <f t="shared" si="19"/>
        <v>11100</v>
      </c>
      <c r="T232">
        <f t="shared" si="20"/>
        <v>7200</v>
      </c>
      <c r="U232">
        <f t="shared" si="21"/>
        <v>3900</v>
      </c>
      <c r="V232" s="3">
        <f t="shared" si="22"/>
        <v>0.35135135135135137</v>
      </c>
      <c r="W232" t="str">
        <f t="shared" si="23"/>
        <v>Jan</v>
      </c>
    </row>
    <row r="233" spans="1:23">
      <c r="A233">
        <v>10034</v>
      </c>
      <c r="B233" s="1">
        <v>45346</v>
      </c>
      <c r="C233">
        <v>45346</v>
      </c>
      <c r="D233" t="s">
        <v>145</v>
      </c>
      <c r="E233" t="str">
        <f>IF(TRIM(D233)="","Unknown",PROPER(TRIM(D233)))</f>
        <v>Eldoret</v>
      </c>
      <c r="F233" t="s">
        <v>80</v>
      </c>
      <c r="G233" t="str">
        <f>PROPER(TRIM(F233))</f>
        <v>Aisha Hassan</v>
      </c>
      <c r="H233" t="s">
        <v>21</v>
      </c>
      <c r="I233" t="s">
        <v>22</v>
      </c>
      <c r="J233" t="str">
        <f>PROPER(TRIM(I233))</f>
        <v>Water Dispenser Stand</v>
      </c>
      <c r="K233">
        <v>3</v>
      </c>
      <c r="L233">
        <f>IF(K233="",0,K233)</f>
        <v>3</v>
      </c>
      <c r="M233">
        <v>2350</v>
      </c>
      <c r="N233">
        <f>IF(M233="",0,M233)</f>
        <v>2350</v>
      </c>
      <c r="O233" t="str">
        <f>IF(L233&lt;0,"NEGATIVE QUANTITY","")</f>
        <v/>
      </c>
      <c r="P233">
        <f t="shared" si="18"/>
        <v>3</v>
      </c>
      <c r="Q233">
        <f>VLOOKUP(H233,'Product Cost Lookup'!A:D,4,FALSE)</f>
        <v>1500</v>
      </c>
      <c r="R233" t="str">
        <f>VLOOKUP(H233,'Product Cost Lookup'!A:D,3,FALSE)</f>
        <v>Household</v>
      </c>
      <c r="S233">
        <f t="shared" si="19"/>
        <v>7050</v>
      </c>
      <c r="T233">
        <f t="shared" si="20"/>
        <v>4500</v>
      </c>
      <c r="U233">
        <f t="shared" si="21"/>
        <v>2550</v>
      </c>
      <c r="V233" s="3">
        <f t="shared" si="22"/>
        <v>0.36170212765957449</v>
      </c>
      <c r="W233" t="str">
        <f t="shared" si="23"/>
        <v>Feb</v>
      </c>
    </row>
    <row r="234" spans="1:23">
      <c r="A234">
        <v>10049</v>
      </c>
      <c r="B234" s="1">
        <v>45293</v>
      </c>
      <c r="C234">
        <v>45293</v>
      </c>
      <c r="D234" t="s">
        <v>19</v>
      </c>
      <c r="E234" t="str">
        <f>IF(TRIM(D234)="","Unknown",PROPER(TRIM(D234)))</f>
        <v>Eldoret</v>
      </c>
      <c r="F234" t="s">
        <v>114</v>
      </c>
      <c r="G234" t="str">
        <f>PROPER(TRIM(F234))</f>
        <v>Samuel Kiptoo</v>
      </c>
      <c r="H234" t="s">
        <v>38</v>
      </c>
      <c r="I234" t="s">
        <v>119</v>
      </c>
      <c r="J234" t="str">
        <f>PROPER(TRIM(I234))</f>
        <v>Usb Wall Charger Uc-5</v>
      </c>
      <c r="K234">
        <v>10</v>
      </c>
      <c r="L234">
        <f>IF(K234="",0,K234)</f>
        <v>10</v>
      </c>
      <c r="M234">
        <v>550</v>
      </c>
      <c r="N234">
        <f>IF(M234="",0,M234)</f>
        <v>550</v>
      </c>
      <c r="O234" t="str">
        <f>IF(L234&lt;0,"NEGATIVE QUANTITY","")</f>
        <v/>
      </c>
      <c r="P234">
        <f t="shared" si="18"/>
        <v>10</v>
      </c>
      <c r="Q234">
        <f>VLOOKUP(H234,'Product Cost Lookup'!A:D,4,FALSE)</f>
        <v>300</v>
      </c>
      <c r="R234" t="str">
        <f>VLOOKUP(H234,'Product Cost Lookup'!A:D,3,FALSE)</f>
        <v>Electronics</v>
      </c>
      <c r="S234">
        <f t="shared" si="19"/>
        <v>5500</v>
      </c>
      <c r="T234">
        <f t="shared" si="20"/>
        <v>3000</v>
      </c>
      <c r="U234">
        <f t="shared" si="21"/>
        <v>2500</v>
      </c>
      <c r="V234" s="3">
        <f t="shared" si="22"/>
        <v>0.45454545454545453</v>
      </c>
      <c r="W234" t="str">
        <f t="shared" si="23"/>
        <v>Jan</v>
      </c>
    </row>
    <row r="235" spans="1:23">
      <c r="A235">
        <v>10200</v>
      </c>
      <c r="B235" s="1">
        <v>45344</v>
      </c>
      <c r="C235">
        <v>45344</v>
      </c>
      <c r="D235" t="s">
        <v>74</v>
      </c>
      <c r="E235" t="str">
        <f>IF(TRIM(D235)="","Unknown",PROPER(TRIM(D235)))</f>
        <v>Nairobi</v>
      </c>
      <c r="F235" t="s">
        <v>102</v>
      </c>
      <c r="G235" t="str">
        <f>PROPER(TRIM(F235))</f>
        <v>Faith Wanjiru</v>
      </c>
      <c r="H235" t="s">
        <v>111</v>
      </c>
      <c r="I235" t="s">
        <v>112</v>
      </c>
      <c r="J235" t="str">
        <f>PROPER(TRIM(I235))</f>
        <v>Thermos Flask 1L</v>
      </c>
      <c r="K235">
        <v>6</v>
      </c>
      <c r="L235">
        <f>IF(K235="",0,K235)</f>
        <v>6</v>
      </c>
      <c r="N235">
        <f>IF(M235="",0,M235)</f>
        <v>0</v>
      </c>
      <c r="O235" t="str">
        <f>IF(L235&lt;0,"NEGATIVE QUANTITY","")</f>
        <v/>
      </c>
      <c r="P235">
        <f t="shared" si="18"/>
        <v>6</v>
      </c>
      <c r="Q235">
        <f>VLOOKUP(H235,'Product Cost Lookup'!A:D,4,FALSE)</f>
        <v>550</v>
      </c>
      <c r="R235" t="str">
        <f>VLOOKUP(H235,'Product Cost Lookup'!A:D,3,FALSE)</f>
        <v>Kitchenware</v>
      </c>
      <c r="S235">
        <f t="shared" si="19"/>
        <v>0</v>
      </c>
      <c r="T235">
        <f t="shared" si="20"/>
        <v>3300</v>
      </c>
      <c r="U235">
        <f t="shared" si="21"/>
        <v>-3300</v>
      </c>
      <c r="V235" s="3">
        <f t="shared" si="22"/>
        <v>0</v>
      </c>
      <c r="W235" t="str">
        <f t="shared" si="23"/>
        <v>Feb</v>
      </c>
    </row>
    <row r="236" spans="1:23">
      <c r="A236">
        <v>10039</v>
      </c>
      <c r="B236" s="1">
        <v>45324</v>
      </c>
      <c r="C236">
        <v>45324</v>
      </c>
      <c r="D236" t="s">
        <v>74</v>
      </c>
      <c r="E236" t="str">
        <f>IF(TRIM(D236)="","Unknown",PROPER(TRIM(D236)))</f>
        <v>Nairobi</v>
      </c>
      <c r="F236" t="s">
        <v>81</v>
      </c>
      <c r="G236" t="str">
        <f>PROPER(TRIM(F236))</f>
        <v>Aisha Hassan</v>
      </c>
      <c r="H236" t="s">
        <v>17</v>
      </c>
      <c r="I236" t="s">
        <v>44</v>
      </c>
      <c r="J236" t="str">
        <f>PROPER(TRIM(I236))</f>
        <v>20L Jerrycan - Blue</v>
      </c>
      <c r="K236">
        <v>12</v>
      </c>
      <c r="L236">
        <f>IF(K236="",0,K236)</f>
        <v>12</v>
      </c>
      <c r="M236">
        <v>500</v>
      </c>
      <c r="N236">
        <f>IF(M236="",0,M236)</f>
        <v>500</v>
      </c>
      <c r="O236" t="str">
        <f>IF(L236&lt;0,"NEGATIVE QUANTITY","")</f>
        <v/>
      </c>
      <c r="P236">
        <f t="shared" si="18"/>
        <v>12</v>
      </c>
      <c r="Q236">
        <f>VLOOKUP(H236,'Product Cost Lookup'!A:D,4,FALSE)</f>
        <v>350</v>
      </c>
      <c r="R236" t="str">
        <f>VLOOKUP(H236,'Product Cost Lookup'!A:D,3,FALSE)</f>
        <v>Household</v>
      </c>
      <c r="S236">
        <f t="shared" si="19"/>
        <v>6000</v>
      </c>
      <c r="T236">
        <f t="shared" si="20"/>
        <v>4200</v>
      </c>
      <c r="U236">
        <f t="shared" si="21"/>
        <v>1800</v>
      </c>
      <c r="V236" s="3">
        <f t="shared" si="22"/>
        <v>0.3</v>
      </c>
      <c r="W236" t="str">
        <f t="shared" si="23"/>
        <v>Feb</v>
      </c>
    </row>
    <row r="237" spans="1:23">
      <c r="A237">
        <v>10324</v>
      </c>
      <c r="B237" s="1">
        <v>45380</v>
      </c>
      <c r="C237">
        <v>45380</v>
      </c>
      <c r="D237" t="s">
        <v>41</v>
      </c>
      <c r="E237" t="str">
        <f>IF(TRIM(D237)="","Unknown",PROPER(TRIM(D237)))</f>
        <v>Nakuru</v>
      </c>
      <c r="F237" t="s">
        <v>24</v>
      </c>
      <c r="G237" t="str">
        <f>PROPER(TRIM(F237))</f>
        <v>Mercy Njeri</v>
      </c>
      <c r="H237" t="s">
        <v>30</v>
      </c>
      <c r="I237" t="s">
        <v>31</v>
      </c>
      <c r="J237" t="str">
        <f>PROPER(TRIM(I237))</f>
        <v>Garden Hose 20M</v>
      </c>
      <c r="K237">
        <v>3</v>
      </c>
      <c r="L237">
        <f>IF(K237="",0,K237)</f>
        <v>3</v>
      </c>
      <c r="M237">
        <v>1700</v>
      </c>
      <c r="N237">
        <f>IF(M237="",0,M237)</f>
        <v>1700</v>
      </c>
      <c r="O237" t="str">
        <f>IF(L237&lt;0,"NEGATIVE QUANTITY","")</f>
        <v/>
      </c>
      <c r="P237">
        <f t="shared" si="18"/>
        <v>3</v>
      </c>
      <c r="Q237">
        <f>VLOOKUP(H237,'Product Cost Lookup'!A:D,4,FALSE)</f>
        <v>1100</v>
      </c>
      <c r="R237" t="str">
        <f>VLOOKUP(H237,'Product Cost Lookup'!A:D,3,FALSE)</f>
        <v>Hardware</v>
      </c>
      <c r="S237">
        <f t="shared" si="19"/>
        <v>5100</v>
      </c>
      <c r="T237">
        <f t="shared" si="20"/>
        <v>3300</v>
      </c>
      <c r="U237">
        <f t="shared" si="21"/>
        <v>1800</v>
      </c>
      <c r="V237" s="3">
        <f t="shared" si="22"/>
        <v>0.35294117647058826</v>
      </c>
      <c r="W237" t="str">
        <f t="shared" si="23"/>
        <v>Mar</v>
      </c>
    </row>
    <row r="238" spans="1:23">
      <c r="A238">
        <v>10190</v>
      </c>
      <c r="B238" s="1">
        <v>45506</v>
      </c>
      <c r="C238">
        <v>45506</v>
      </c>
      <c r="D238" t="s">
        <v>47</v>
      </c>
      <c r="E238" t="str">
        <f>IF(TRIM(D238)="","Unknown",PROPER(TRIM(D238)))</f>
        <v>Mombasa</v>
      </c>
      <c r="F238" t="s">
        <v>14</v>
      </c>
      <c r="G238" t="str">
        <f>PROPER(TRIM(F238))</f>
        <v>Faith Wanjiru</v>
      </c>
      <c r="H238" t="s">
        <v>30</v>
      </c>
      <c r="I238" t="s">
        <v>31</v>
      </c>
      <c r="J238" t="str">
        <f>PROPER(TRIM(I238))</f>
        <v>Garden Hose 20M</v>
      </c>
      <c r="K238">
        <v>8</v>
      </c>
      <c r="L238">
        <f>IF(K238="",0,K238)</f>
        <v>8</v>
      </c>
      <c r="M238">
        <v>1700</v>
      </c>
      <c r="N238">
        <f>IF(M238="",0,M238)</f>
        <v>1700</v>
      </c>
      <c r="O238" t="str">
        <f>IF(L238&lt;0,"NEGATIVE QUANTITY","")</f>
        <v/>
      </c>
      <c r="P238">
        <f t="shared" si="18"/>
        <v>8</v>
      </c>
      <c r="Q238">
        <f>VLOOKUP(H238,'Product Cost Lookup'!A:D,4,FALSE)</f>
        <v>1100</v>
      </c>
      <c r="R238" t="str">
        <f>VLOOKUP(H238,'Product Cost Lookup'!A:D,3,FALSE)</f>
        <v>Hardware</v>
      </c>
      <c r="S238">
        <f t="shared" si="19"/>
        <v>13600</v>
      </c>
      <c r="T238">
        <f t="shared" si="20"/>
        <v>8800</v>
      </c>
      <c r="U238">
        <f t="shared" si="21"/>
        <v>4800</v>
      </c>
      <c r="V238" s="3">
        <f t="shared" si="22"/>
        <v>0.35294117647058826</v>
      </c>
      <c r="W238" t="str">
        <f t="shared" si="23"/>
        <v>Aug</v>
      </c>
    </row>
    <row r="239" spans="1:23">
      <c r="A239">
        <v>10259</v>
      </c>
      <c r="B239" s="1">
        <v>45314</v>
      </c>
      <c r="C239">
        <v>45314</v>
      </c>
      <c r="D239" t="s">
        <v>40</v>
      </c>
      <c r="E239" t="str">
        <f>IF(TRIM(D239)="","Unknown",PROPER(TRIM(D239)))</f>
        <v>Thika</v>
      </c>
      <c r="F239" t="s">
        <v>9</v>
      </c>
      <c r="G239" t="str">
        <f>PROPER(TRIM(F239))</f>
        <v>Peter Otieno</v>
      </c>
      <c r="H239" t="s">
        <v>30</v>
      </c>
      <c r="I239" t="s">
        <v>31</v>
      </c>
      <c r="J239" t="str">
        <f>PROPER(TRIM(I239))</f>
        <v>Garden Hose 20M</v>
      </c>
      <c r="K239">
        <v>3</v>
      </c>
      <c r="L239">
        <f>IF(K239="",0,K239)</f>
        <v>3</v>
      </c>
      <c r="M239">
        <v>1650</v>
      </c>
      <c r="N239">
        <f>IF(M239="",0,M239)</f>
        <v>1650</v>
      </c>
      <c r="O239" t="str">
        <f>IF(L239&lt;0,"NEGATIVE QUANTITY","")</f>
        <v/>
      </c>
      <c r="P239">
        <f t="shared" si="18"/>
        <v>3</v>
      </c>
      <c r="Q239">
        <f>VLOOKUP(H239,'Product Cost Lookup'!A:D,4,FALSE)</f>
        <v>1100</v>
      </c>
      <c r="R239" t="str">
        <f>VLOOKUP(H239,'Product Cost Lookup'!A:D,3,FALSE)</f>
        <v>Hardware</v>
      </c>
      <c r="S239">
        <f t="shared" si="19"/>
        <v>4950</v>
      </c>
      <c r="T239">
        <f t="shared" si="20"/>
        <v>3300</v>
      </c>
      <c r="U239">
        <f t="shared" si="21"/>
        <v>1650</v>
      </c>
      <c r="V239" s="3">
        <f t="shared" si="22"/>
        <v>0.33333333333333331</v>
      </c>
      <c r="W239" t="str">
        <f t="shared" si="23"/>
        <v>Jan</v>
      </c>
    </row>
    <row r="240" spans="1:23">
      <c r="A240">
        <v>10229</v>
      </c>
      <c r="B240" s="2">
        <v>45354</v>
      </c>
      <c r="C240">
        <v>45354</v>
      </c>
      <c r="D240" t="s">
        <v>145</v>
      </c>
      <c r="E240" t="str">
        <f>IF(TRIM(D240)="","Unknown",PROPER(TRIM(D240)))</f>
        <v>Eldoret</v>
      </c>
      <c r="F240" t="s">
        <v>64</v>
      </c>
      <c r="G240" t="str">
        <f>PROPER(TRIM(F240))</f>
        <v>Mercy Njeri</v>
      </c>
      <c r="H240" t="s">
        <v>55</v>
      </c>
      <c r="I240" t="s">
        <v>163</v>
      </c>
      <c r="J240" t="str">
        <f>PROPER(TRIM(I240))</f>
        <v>Led Bulb 9W (Pack Of 4)</v>
      </c>
      <c r="K240">
        <v>1</v>
      </c>
      <c r="L240">
        <f>IF(K240="",0,K240)</f>
        <v>1</v>
      </c>
      <c r="M240">
        <v>880</v>
      </c>
      <c r="N240">
        <f>IF(M240="",0,M240)</f>
        <v>880</v>
      </c>
      <c r="O240" t="str">
        <f>IF(L240&lt;0,"NEGATIVE QUANTITY","")</f>
        <v/>
      </c>
      <c r="P240">
        <f t="shared" si="18"/>
        <v>1</v>
      </c>
      <c r="Q240">
        <f>VLOOKUP(H240,'Product Cost Lookup'!A:D,4,FALSE)</f>
        <v>480</v>
      </c>
      <c r="R240" t="str">
        <f>VLOOKUP(H240,'Product Cost Lookup'!A:D,3,FALSE)</f>
        <v>Electronics</v>
      </c>
      <c r="S240">
        <f t="shared" si="19"/>
        <v>880</v>
      </c>
      <c r="T240">
        <f t="shared" si="20"/>
        <v>480</v>
      </c>
      <c r="U240">
        <f t="shared" si="21"/>
        <v>400</v>
      </c>
      <c r="V240" s="3">
        <f t="shared" si="22"/>
        <v>0.45454545454545453</v>
      </c>
      <c r="W240" t="str">
        <f t="shared" si="23"/>
        <v>Mar</v>
      </c>
    </row>
    <row r="241" spans="1:23">
      <c r="A241">
        <v>10302</v>
      </c>
      <c r="B241" s="1">
        <v>45326</v>
      </c>
      <c r="C241">
        <v>45326</v>
      </c>
      <c r="D241" t="s">
        <v>37</v>
      </c>
      <c r="E241" t="str">
        <f>IF(TRIM(D241)="","Unknown",PROPER(TRIM(D241)))</f>
        <v>Mombasa</v>
      </c>
      <c r="F241" t="s">
        <v>14</v>
      </c>
      <c r="G241" t="str">
        <f>PROPER(TRIM(F241))</f>
        <v>Faith Wanjiru</v>
      </c>
      <c r="H241" t="s">
        <v>38</v>
      </c>
      <c r="I241" t="s">
        <v>118</v>
      </c>
      <c r="J241" t="str">
        <f>PROPER(TRIM(I241))</f>
        <v>Usb Wall Charger Uc-5</v>
      </c>
      <c r="K241">
        <v>4</v>
      </c>
      <c r="L241">
        <f>IF(K241="",0,K241)</f>
        <v>4</v>
      </c>
      <c r="M241">
        <v>500</v>
      </c>
      <c r="N241">
        <f>IF(M241="",0,M241)</f>
        <v>500</v>
      </c>
      <c r="O241" t="str">
        <f>IF(L241&lt;0,"NEGATIVE QUANTITY","")</f>
        <v/>
      </c>
      <c r="P241">
        <f t="shared" si="18"/>
        <v>4</v>
      </c>
      <c r="Q241">
        <f>VLOOKUP(H241,'Product Cost Lookup'!A:D,4,FALSE)</f>
        <v>300</v>
      </c>
      <c r="R241" t="str">
        <f>VLOOKUP(H241,'Product Cost Lookup'!A:D,3,FALSE)</f>
        <v>Electronics</v>
      </c>
      <c r="S241">
        <f t="shared" si="19"/>
        <v>2000</v>
      </c>
      <c r="T241">
        <f t="shared" si="20"/>
        <v>1200</v>
      </c>
      <c r="U241">
        <f t="shared" si="21"/>
        <v>800</v>
      </c>
      <c r="V241" s="3">
        <f t="shared" si="22"/>
        <v>0.4</v>
      </c>
      <c r="W241" t="str">
        <f t="shared" si="23"/>
        <v>Feb</v>
      </c>
    </row>
    <row r="242" spans="1:23">
      <c r="A242">
        <v>10240</v>
      </c>
      <c r="B242" t="s">
        <v>166</v>
      </c>
      <c r="C242">
        <v>45318</v>
      </c>
      <c r="D242" t="s">
        <v>15</v>
      </c>
      <c r="E242" t="str">
        <f>IF(TRIM(D242)="","Unknown",PROPER(TRIM(D242)))</f>
        <v>Mombasa</v>
      </c>
      <c r="F242" t="s">
        <v>36</v>
      </c>
      <c r="G242" t="str">
        <f>PROPER(TRIM(F242))</f>
        <v>Peter Otieno</v>
      </c>
      <c r="H242" t="s">
        <v>38</v>
      </c>
      <c r="I242" t="s">
        <v>39</v>
      </c>
      <c r="J242" t="str">
        <f>PROPER(TRIM(I242))</f>
        <v>Usb Wall Charger Uc-5</v>
      </c>
      <c r="K242">
        <v>2</v>
      </c>
      <c r="L242">
        <f>IF(K242="",0,K242)</f>
        <v>2</v>
      </c>
      <c r="M242">
        <v>500</v>
      </c>
      <c r="N242">
        <f>IF(M242="",0,M242)</f>
        <v>500</v>
      </c>
      <c r="O242" t="str">
        <f>IF(L242&lt;0,"NEGATIVE QUANTITY","")</f>
        <v/>
      </c>
      <c r="P242">
        <f t="shared" si="18"/>
        <v>2</v>
      </c>
      <c r="Q242">
        <f>VLOOKUP(H242,'Product Cost Lookup'!A:D,4,FALSE)</f>
        <v>300</v>
      </c>
      <c r="R242" t="str">
        <f>VLOOKUP(H242,'Product Cost Lookup'!A:D,3,FALSE)</f>
        <v>Electronics</v>
      </c>
      <c r="S242">
        <f t="shared" si="19"/>
        <v>1000</v>
      </c>
      <c r="T242">
        <f t="shared" si="20"/>
        <v>600</v>
      </c>
      <c r="U242">
        <f t="shared" si="21"/>
        <v>400</v>
      </c>
      <c r="V242" s="3">
        <f t="shared" si="22"/>
        <v>0.4</v>
      </c>
      <c r="W242" t="str">
        <f t="shared" si="23"/>
        <v>Jan</v>
      </c>
    </row>
    <row r="243" spans="1:23">
      <c r="A243">
        <v>10191</v>
      </c>
      <c r="B243" s="1">
        <v>45338</v>
      </c>
      <c r="C243">
        <v>45338</v>
      </c>
      <c r="D243" t="s">
        <v>35</v>
      </c>
      <c r="E243" t="str">
        <f>IF(TRIM(D243)="","Unknown",PROPER(TRIM(D243)))</f>
        <v>Kisumu</v>
      </c>
      <c r="F243" t="s">
        <v>9</v>
      </c>
      <c r="G243" t="str">
        <f>PROPER(TRIM(F243))</f>
        <v>Peter Otieno</v>
      </c>
      <c r="H243" t="s">
        <v>65</v>
      </c>
      <c r="I243" t="s">
        <v>73</v>
      </c>
      <c r="J243" t="str">
        <f>PROPER(TRIM(I243))</f>
        <v>Mosquito Net - Family Size</v>
      </c>
      <c r="K243">
        <v>15</v>
      </c>
      <c r="L243">
        <f>IF(K243="",0,K243)</f>
        <v>15</v>
      </c>
      <c r="M243">
        <v>700</v>
      </c>
      <c r="N243">
        <f>IF(M243="",0,M243)</f>
        <v>700</v>
      </c>
      <c r="O243" t="str">
        <f>IF(L243&lt;0,"NEGATIVE QUANTITY","")</f>
        <v/>
      </c>
      <c r="P243">
        <f t="shared" si="18"/>
        <v>15</v>
      </c>
      <c r="Q243">
        <f>VLOOKUP(H243,'Product Cost Lookup'!A:D,4,FALSE)</f>
        <v>400</v>
      </c>
      <c r="R243" t="str">
        <f>VLOOKUP(H243,'Product Cost Lookup'!A:D,3,FALSE)</f>
        <v>Household</v>
      </c>
      <c r="S243">
        <f t="shared" si="19"/>
        <v>10500</v>
      </c>
      <c r="T243">
        <f t="shared" si="20"/>
        <v>6000</v>
      </c>
      <c r="U243">
        <f t="shared" si="21"/>
        <v>4500</v>
      </c>
      <c r="V243" s="3">
        <f t="shared" si="22"/>
        <v>0.42857142857142855</v>
      </c>
      <c r="W243" t="str">
        <f t="shared" si="23"/>
        <v>Feb</v>
      </c>
    </row>
    <row r="244" spans="1:23">
      <c r="A244">
        <v>10114</v>
      </c>
      <c r="B244" s="1">
        <v>45329</v>
      </c>
      <c r="C244">
        <v>45329</v>
      </c>
      <c r="D244" t="s">
        <v>23</v>
      </c>
      <c r="E244" t="str">
        <f>IF(TRIM(D244)="","Unknown",PROPER(TRIM(D244)))</f>
        <v>Kisumu</v>
      </c>
      <c r="F244" t="s">
        <v>9</v>
      </c>
      <c r="G244" t="str">
        <f>PROPER(TRIM(F244))</f>
        <v>Peter Otieno</v>
      </c>
      <c r="H244" t="s">
        <v>30</v>
      </c>
      <c r="I244" t="s">
        <v>31</v>
      </c>
      <c r="J244" t="str">
        <f>PROPER(TRIM(I244))</f>
        <v>Garden Hose 20M</v>
      </c>
      <c r="K244">
        <v>20</v>
      </c>
      <c r="L244">
        <f>IF(K244="",0,K244)</f>
        <v>20</v>
      </c>
      <c r="M244">
        <v>1700</v>
      </c>
      <c r="N244">
        <f>IF(M244="",0,M244)</f>
        <v>1700</v>
      </c>
      <c r="O244" t="str">
        <f>IF(L244&lt;0,"NEGATIVE QUANTITY","")</f>
        <v/>
      </c>
      <c r="P244">
        <f t="shared" si="18"/>
        <v>20</v>
      </c>
      <c r="Q244">
        <f>VLOOKUP(H244,'Product Cost Lookup'!A:D,4,FALSE)</f>
        <v>1100</v>
      </c>
      <c r="R244" t="str">
        <f>VLOOKUP(H244,'Product Cost Lookup'!A:D,3,FALSE)</f>
        <v>Hardware</v>
      </c>
      <c r="S244">
        <f t="shared" si="19"/>
        <v>34000</v>
      </c>
      <c r="T244">
        <f t="shared" si="20"/>
        <v>22000</v>
      </c>
      <c r="U244">
        <f t="shared" si="21"/>
        <v>12000</v>
      </c>
      <c r="V244" s="3">
        <f t="shared" si="22"/>
        <v>0.35294117647058826</v>
      </c>
      <c r="W244" t="str">
        <f t="shared" si="23"/>
        <v>Feb</v>
      </c>
    </row>
    <row r="245" spans="1:23">
      <c r="A245">
        <v>10156</v>
      </c>
      <c r="B245" s="1">
        <v>45506</v>
      </c>
      <c r="C245">
        <v>45506</v>
      </c>
      <c r="D245" t="s">
        <v>40</v>
      </c>
      <c r="E245" t="str">
        <f>IF(TRIM(D245)="","Unknown",PROPER(TRIM(D245)))</f>
        <v>Thika</v>
      </c>
      <c r="F245" t="s">
        <v>134</v>
      </c>
      <c r="G245" t="str">
        <f>PROPER(TRIM(F245))</f>
        <v>Grace Achieng</v>
      </c>
      <c r="H245" t="s">
        <v>33</v>
      </c>
      <c r="I245" t="s">
        <v>60</v>
      </c>
      <c r="J245" t="str">
        <f>PROPER(TRIM(I245))</f>
        <v>Padlock Set (3Pc)</v>
      </c>
      <c r="K245">
        <v>20</v>
      </c>
      <c r="L245">
        <f>IF(K245="",0,K245)</f>
        <v>20</v>
      </c>
      <c r="M245">
        <v>650</v>
      </c>
      <c r="N245">
        <f>IF(M245="",0,M245)</f>
        <v>650</v>
      </c>
      <c r="O245" t="str">
        <f>IF(L245&lt;0,"NEGATIVE QUANTITY","")</f>
        <v/>
      </c>
      <c r="P245">
        <f t="shared" si="18"/>
        <v>20</v>
      </c>
      <c r="Q245">
        <f>VLOOKUP(H245,'Product Cost Lookup'!A:D,4,FALSE)</f>
        <v>450</v>
      </c>
      <c r="R245" t="str">
        <f>VLOOKUP(H245,'Product Cost Lookup'!A:D,3,FALSE)</f>
        <v>Hardware</v>
      </c>
      <c r="S245">
        <f t="shared" si="19"/>
        <v>13000</v>
      </c>
      <c r="T245">
        <f t="shared" si="20"/>
        <v>9000</v>
      </c>
      <c r="U245">
        <f t="shared" si="21"/>
        <v>4000</v>
      </c>
      <c r="V245" s="3">
        <f t="shared" si="22"/>
        <v>0.30769230769230771</v>
      </c>
      <c r="W245" t="str">
        <f t="shared" si="23"/>
        <v>Aug</v>
      </c>
    </row>
    <row r="246" spans="1:23">
      <c r="A246">
        <v>10211</v>
      </c>
      <c r="B246" s="1">
        <v>45337</v>
      </c>
      <c r="C246">
        <v>45337</v>
      </c>
      <c r="D246" t="s">
        <v>15</v>
      </c>
      <c r="E246" t="str">
        <f>IF(TRIM(D246)="","Unknown",PROPER(TRIM(D246)))</f>
        <v>Mombasa</v>
      </c>
      <c r="F246" t="s">
        <v>9</v>
      </c>
      <c r="G246" t="str">
        <f>PROPER(TRIM(F246))</f>
        <v>Peter Otieno</v>
      </c>
      <c r="H246" t="s">
        <v>77</v>
      </c>
      <c r="I246" t="s">
        <v>78</v>
      </c>
      <c r="J246" t="str">
        <f>PROPER(TRIM(I246))</f>
        <v>Cooking Gas Burner Cb-2</v>
      </c>
      <c r="K246">
        <v>15</v>
      </c>
      <c r="L246">
        <f>IF(K246="",0,K246)</f>
        <v>15</v>
      </c>
      <c r="M246">
        <v>1850</v>
      </c>
      <c r="N246">
        <f>IF(M246="",0,M246)</f>
        <v>1850</v>
      </c>
      <c r="O246" t="str">
        <f>IF(L246&lt;0,"NEGATIVE QUANTITY","")</f>
        <v/>
      </c>
      <c r="P246">
        <f t="shared" si="18"/>
        <v>15</v>
      </c>
      <c r="Q246">
        <f>VLOOKUP(H246,'Product Cost Lookup'!A:D,4,FALSE)</f>
        <v>1200</v>
      </c>
      <c r="R246" t="str">
        <f>VLOOKUP(H246,'Product Cost Lookup'!A:D,3,FALSE)</f>
        <v>Kitchenware</v>
      </c>
      <c r="S246">
        <f t="shared" si="19"/>
        <v>27750</v>
      </c>
      <c r="T246">
        <f t="shared" si="20"/>
        <v>18000</v>
      </c>
      <c r="U246">
        <f t="shared" si="21"/>
        <v>9750</v>
      </c>
      <c r="V246" s="3">
        <f t="shared" si="22"/>
        <v>0.35135135135135137</v>
      </c>
      <c r="W246" t="str">
        <f t="shared" si="23"/>
        <v>Feb</v>
      </c>
    </row>
    <row r="247" spans="1:23">
      <c r="A247">
        <v>10212</v>
      </c>
      <c r="B247" s="1">
        <v>45355</v>
      </c>
      <c r="C247">
        <v>45355</v>
      </c>
      <c r="E247" t="str">
        <f>IF(TRIM(D247)="","Unknown",PROPER(TRIM(D247)))</f>
        <v>Unknown</v>
      </c>
      <c r="F247" t="s">
        <v>46</v>
      </c>
      <c r="G247" t="str">
        <f>PROPER(TRIM(F247))</f>
        <v>Samuel Kiptoo</v>
      </c>
      <c r="H247" t="s">
        <v>53</v>
      </c>
      <c r="I247" t="s">
        <v>72</v>
      </c>
      <c r="J247" t="str">
        <f>PROPER(TRIM(I247))</f>
        <v>Rechargeable Torch Rt-10</v>
      </c>
      <c r="K247">
        <v>10</v>
      </c>
      <c r="L247">
        <f>IF(K247="",0,K247)</f>
        <v>10</v>
      </c>
      <c r="M247">
        <v>900</v>
      </c>
      <c r="N247">
        <f>IF(M247="",0,M247)</f>
        <v>900</v>
      </c>
      <c r="O247" t="str">
        <f>IF(L247&lt;0,"NEGATIVE QUANTITY","")</f>
        <v/>
      </c>
      <c r="P247">
        <f t="shared" si="18"/>
        <v>10</v>
      </c>
      <c r="Q247">
        <f>VLOOKUP(H247,'Product Cost Lookup'!A:D,4,FALSE)</f>
        <v>600</v>
      </c>
      <c r="R247" t="str">
        <f>VLOOKUP(H247,'Product Cost Lookup'!A:D,3,FALSE)</f>
        <v>Electronics</v>
      </c>
      <c r="S247">
        <f t="shared" si="19"/>
        <v>9000</v>
      </c>
      <c r="T247">
        <f t="shared" si="20"/>
        <v>6000</v>
      </c>
      <c r="U247">
        <f t="shared" si="21"/>
        <v>3000</v>
      </c>
      <c r="V247" s="3">
        <f t="shared" si="22"/>
        <v>0.33333333333333331</v>
      </c>
      <c r="W247" t="str">
        <f t="shared" si="23"/>
        <v>Mar</v>
      </c>
    </row>
    <row r="248" spans="1:23">
      <c r="A248">
        <v>10164</v>
      </c>
      <c r="B248" s="1">
        <v>45355</v>
      </c>
      <c r="C248">
        <v>45355</v>
      </c>
      <c r="D248" t="s">
        <v>19</v>
      </c>
      <c r="E248" t="str">
        <f>IF(TRIM(D248)="","Unknown",PROPER(TRIM(D248)))</f>
        <v>Eldoret</v>
      </c>
      <c r="F248" t="s">
        <v>42</v>
      </c>
      <c r="G248" t="str">
        <f>PROPER(TRIM(F248))</f>
        <v>Faith Wanjiru</v>
      </c>
      <c r="H248" t="s">
        <v>38</v>
      </c>
      <c r="I248" t="s">
        <v>39</v>
      </c>
      <c r="J248" t="str">
        <f>PROPER(TRIM(I248))</f>
        <v>Usb Wall Charger Uc-5</v>
      </c>
      <c r="K248">
        <v>2</v>
      </c>
      <c r="L248">
        <f>IF(K248="",0,K248)</f>
        <v>2</v>
      </c>
      <c r="M248">
        <v>500</v>
      </c>
      <c r="N248">
        <f>IF(M248="",0,M248)</f>
        <v>500</v>
      </c>
      <c r="O248" t="str">
        <f>IF(L248&lt;0,"NEGATIVE QUANTITY","")</f>
        <v/>
      </c>
      <c r="P248">
        <f t="shared" si="18"/>
        <v>2</v>
      </c>
      <c r="Q248">
        <f>VLOOKUP(H248,'Product Cost Lookup'!A:D,4,FALSE)</f>
        <v>300</v>
      </c>
      <c r="R248" t="str">
        <f>VLOOKUP(H248,'Product Cost Lookup'!A:D,3,FALSE)</f>
        <v>Electronics</v>
      </c>
      <c r="S248">
        <f t="shared" si="19"/>
        <v>1000</v>
      </c>
      <c r="T248">
        <f t="shared" si="20"/>
        <v>600</v>
      </c>
      <c r="U248">
        <f t="shared" si="21"/>
        <v>400</v>
      </c>
      <c r="V248" s="3">
        <f t="shared" si="22"/>
        <v>0.4</v>
      </c>
      <c r="W248" t="str">
        <f t="shared" si="23"/>
        <v>Mar</v>
      </c>
    </row>
    <row r="249" spans="1:23">
      <c r="A249">
        <v>10297</v>
      </c>
      <c r="B249" s="1">
        <v>45357</v>
      </c>
      <c r="C249">
        <v>45357</v>
      </c>
      <c r="D249" t="s">
        <v>100</v>
      </c>
      <c r="E249" t="str">
        <f>IF(TRIM(D249)="","Unknown",PROPER(TRIM(D249)))</f>
        <v>Eldoret</v>
      </c>
      <c r="F249" t="s">
        <v>52</v>
      </c>
      <c r="G249" t="str">
        <f>PROPER(TRIM(F249))</f>
        <v>Faith Wanjiru</v>
      </c>
      <c r="H249" t="s">
        <v>90</v>
      </c>
      <c r="I249" t="s">
        <v>96</v>
      </c>
      <c r="J249" t="str">
        <f>PROPER(TRIM(I249))</f>
        <v>Wheelbarrow - Heavy Duty</v>
      </c>
      <c r="K249">
        <v>3</v>
      </c>
      <c r="L249">
        <f>IF(K249="",0,K249)</f>
        <v>3</v>
      </c>
      <c r="M249">
        <v>5150</v>
      </c>
      <c r="N249">
        <f>IF(M249="",0,M249)</f>
        <v>5150</v>
      </c>
      <c r="O249" t="str">
        <f>IF(L249&lt;0,"NEGATIVE QUANTITY","")</f>
        <v/>
      </c>
      <c r="P249">
        <f t="shared" si="18"/>
        <v>3</v>
      </c>
      <c r="Q249">
        <f>VLOOKUP(H249,'Product Cost Lookup'!A:D,4,FALSE)</f>
        <v>3500</v>
      </c>
      <c r="R249" t="str">
        <f>VLOOKUP(H249,'Product Cost Lookup'!A:D,3,FALSE)</f>
        <v>Hardware</v>
      </c>
      <c r="S249">
        <f t="shared" si="19"/>
        <v>15450</v>
      </c>
      <c r="T249">
        <f t="shared" si="20"/>
        <v>10500</v>
      </c>
      <c r="U249">
        <f t="shared" si="21"/>
        <v>4950</v>
      </c>
      <c r="V249" s="3">
        <f t="shared" si="22"/>
        <v>0.32038834951456313</v>
      </c>
      <c r="W249" t="str">
        <f t="shared" si="23"/>
        <v>Mar</v>
      </c>
    </row>
    <row r="250" spans="1:23">
      <c r="A250">
        <v>10266</v>
      </c>
      <c r="B250" t="s">
        <v>67</v>
      </c>
      <c r="C250">
        <v>45340</v>
      </c>
      <c r="D250" t="s">
        <v>74</v>
      </c>
      <c r="E250" t="str">
        <f>IF(TRIM(D250)="","Unknown",PROPER(TRIM(D250)))</f>
        <v>Nairobi</v>
      </c>
      <c r="F250" t="s">
        <v>167</v>
      </c>
      <c r="G250" t="str">
        <f>PROPER(TRIM(F250))</f>
        <v>Brian Mutua</v>
      </c>
      <c r="H250" t="s">
        <v>93</v>
      </c>
      <c r="I250" t="s">
        <v>94</v>
      </c>
      <c r="J250" t="str">
        <f>PROPER(TRIM(I250))</f>
        <v>Non-Stick Frying Pan 28Cm</v>
      </c>
      <c r="K250">
        <v>12</v>
      </c>
      <c r="L250">
        <f>IF(K250="",0,K250)</f>
        <v>12</v>
      </c>
      <c r="M250">
        <v>1100</v>
      </c>
      <c r="N250">
        <f>IF(M250="",0,M250)</f>
        <v>1100</v>
      </c>
      <c r="O250" t="str">
        <f>IF(L250&lt;0,"NEGATIVE QUANTITY","")</f>
        <v/>
      </c>
      <c r="P250">
        <f t="shared" si="18"/>
        <v>12</v>
      </c>
      <c r="Q250">
        <f>VLOOKUP(H250,'Product Cost Lookup'!A:D,4,FALSE)</f>
        <v>700</v>
      </c>
      <c r="R250" t="str">
        <f>VLOOKUP(H250,'Product Cost Lookup'!A:D,3,FALSE)</f>
        <v>Kitchenware</v>
      </c>
      <c r="S250">
        <f t="shared" si="19"/>
        <v>13200</v>
      </c>
      <c r="T250">
        <f t="shared" si="20"/>
        <v>8400</v>
      </c>
      <c r="U250">
        <f t="shared" si="21"/>
        <v>4800</v>
      </c>
      <c r="V250" s="3">
        <f t="shared" si="22"/>
        <v>0.36363636363636365</v>
      </c>
      <c r="W250" t="str">
        <f t="shared" si="23"/>
        <v>Feb</v>
      </c>
    </row>
    <row r="251" spans="1:23">
      <c r="A251">
        <v>10095</v>
      </c>
      <c r="B251" s="1">
        <v>45507</v>
      </c>
      <c r="C251">
        <v>45507</v>
      </c>
      <c r="D251" t="s">
        <v>19</v>
      </c>
      <c r="E251" t="str">
        <f>IF(TRIM(D251)="","Unknown",PROPER(TRIM(D251)))</f>
        <v>Eldoret</v>
      </c>
      <c r="F251" t="s">
        <v>9</v>
      </c>
      <c r="G251" t="str">
        <f>PROPER(TRIM(F251))</f>
        <v>Peter Otieno</v>
      </c>
      <c r="H251" t="s">
        <v>25</v>
      </c>
      <c r="I251" t="s">
        <v>97</v>
      </c>
      <c r="J251" t="str">
        <f>PROPER(TRIM(I251))</f>
        <v>Plastic Storage Basket (L)</v>
      </c>
      <c r="K251">
        <v>6</v>
      </c>
      <c r="L251">
        <f>IF(K251="",0,K251)</f>
        <v>6</v>
      </c>
      <c r="M251">
        <v>420</v>
      </c>
      <c r="N251">
        <f>IF(M251="",0,M251)</f>
        <v>420</v>
      </c>
      <c r="O251" t="str">
        <f>IF(L251&lt;0,"NEGATIVE QUANTITY","")</f>
        <v/>
      </c>
      <c r="P251">
        <f t="shared" si="18"/>
        <v>6</v>
      </c>
      <c r="Q251">
        <f>VLOOKUP(H251,'Product Cost Lookup'!A:D,4,FALSE)</f>
        <v>250</v>
      </c>
      <c r="R251" t="str">
        <f>VLOOKUP(H251,'Product Cost Lookup'!A:D,3,FALSE)</f>
        <v>Household</v>
      </c>
      <c r="S251">
        <f t="shared" si="19"/>
        <v>2520</v>
      </c>
      <c r="T251">
        <f t="shared" si="20"/>
        <v>1500</v>
      </c>
      <c r="U251">
        <f t="shared" si="21"/>
        <v>1020</v>
      </c>
      <c r="V251" s="3">
        <f t="shared" si="22"/>
        <v>0.40476190476190477</v>
      </c>
      <c r="W251" t="str">
        <f t="shared" si="23"/>
        <v>Aug</v>
      </c>
    </row>
    <row r="252" spans="1:23">
      <c r="A252">
        <v>10061</v>
      </c>
      <c r="B252" s="1">
        <v>45340</v>
      </c>
      <c r="C252">
        <v>45340</v>
      </c>
      <c r="D252" t="s">
        <v>41</v>
      </c>
      <c r="E252" t="str">
        <f>IF(TRIM(D252)="","Unknown",PROPER(TRIM(D252)))</f>
        <v>Nakuru</v>
      </c>
      <c r="F252" t="s">
        <v>24</v>
      </c>
      <c r="G252" t="str">
        <f>PROPER(TRIM(F252))</f>
        <v>Mercy Njeri</v>
      </c>
      <c r="H252" t="s">
        <v>55</v>
      </c>
      <c r="I252" t="s">
        <v>56</v>
      </c>
      <c r="J252" t="str">
        <f>PROPER(TRIM(I252))</f>
        <v>Led Bulb 9W (Pack Of 4)</v>
      </c>
      <c r="K252">
        <v>4</v>
      </c>
      <c r="L252">
        <f>IF(K252="",0,K252)</f>
        <v>4</v>
      </c>
      <c r="M252">
        <v>780</v>
      </c>
      <c r="N252">
        <f>IF(M252="",0,M252)</f>
        <v>780</v>
      </c>
      <c r="O252" t="str">
        <f>IF(L252&lt;0,"NEGATIVE QUANTITY","")</f>
        <v/>
      </c>
      <c r="P252">
        <f t="shared" si="18"/>
        <v>4</v>
      </c>
      <c r="Q252">
        <f>VLOOKUP(H252,'Product Cost Lookup'!A:D,4,FALSE)</f>
        <v>480</v>
      </c>
      <c r="R252" t="str">
        <f>VLOOKUP(H252,'Product Cost Lookup'!A:D,3,FALSE)</f>
        <v>Electronics</v>
      </c>
      <c r="S252">
        <f t="shared" si="19"/>
        <v>3120</v>
      </c>
      <c r="T252">
        <f t="shared" si="20"/>
        <v>1920</v>
      </c>
      <c r="U252">
        <f t="shared" si="21"/>
        <v>1200</v>
      </c>
      <c r="V252" s="3">
        <f t="shared" si="22"/>
        <v>0.38461538461538464</v>
      </c>
      <c r="W252" t="str">
        <f t="shared" si="23"/>
        <v>Feb</v>
      </c>
    </row>
    <row r="253" spans="1:23">
      <c r="A253">
        <v>10339</v>
      </c>
      <c r="B253" s="1">
        <v>45344</v>
      </c>
      <c r="C253">
        <v>45344</v>
      </c>
      <c r="D253" t="s">
        <v>13</v>
      </c>
      <c r="E253" t="str">
        <f>IF(TRIM(D253)="","Unknown",PROPER(TRIM(D253)))</f>
        <v>Nakuru</v>
      </c>
      <c r="F253" t="s">
        <v>24</v>
      </c>
      <c r="G253" t="str">
        <f>PROPER(TRIM(F253))</f>
        <v>Mercy Njeri</v>
      </c>
      <c r="H253" t="s">
        <v>25</v>
      </c>
      <c r="I253" t="s">
        <v>26</v>
      </c>
      <c r="J253" t="str">
        <f>PROPER(TRIM(I253))</f>
        <v>Plastic Storage Basket L</v>
      </c>
      <c r="K253">
        <v>4</v>
      </c>
      <c r="L253">
        <f>IF(K253="",0,K253)</f>
        <v>4</v>
      </c>
      <c r="M253">
        <v>420</v>
      </c>
      <c r="N253">
        <f>IF(M253="",0,M253)</f>
        <v>420</v>
      </c>
      <c r="O253" t="str">
        <f>IF(L253&lt;0,"NEGATIVE QUANTITY","")</f>
        <v/>
      </c>
      <c r="P253">
        <f t="shared" si="18"/>
        <v>4</v>
      </c>
      <c r="Q253">
        <f>VLOOKUP(H253,'Product Cost Lookup'!A:D,4,FALSE)</f>
        <v>250</v>
      </c>
      <c r="R253" t="str">
        <f>VLOOKUP(H253,'Product Cost Lookup'!A:D,3,FALSE)</f>
        <v>Household</v>
      </c>
      <c r="S253">
        <f t="shared" si="19"/>
        <v>1680</v>
      </c>
      <c r="T253">
        <f t="shared" si="20"/>
        <v>1000</v>
      </c>
      <c r="U253">
        <f t="shared" si="21"/>
        <v>680</v>
      </c>
      <c r="V253" s="3">
        <f t="shared" si="22"/>
        <v>0.40476190476190477</v>
      </c>
      <c r="W253" t="str">
        <f t="shared" si="23"/>
        <v>Feb</v>
      </c>
    </row>
    <row r="254" spans="1:23">
      <c r="A254">
        <v>10163</v>
      </c>
      <c r="B254" s="1">
        <v>45358</v>
      </c>
      <c r="C254">
        <v>45358</v>
      </c>
      <c r="D254" t="s">
        <v>47</v>
      </c>
      <c r="E254" t="str">
        <f>IF(TRIM(D254)="","Unknown",PROPER(TRIM(D254)))</f>
        <v>Mombasa</v>
      </c>
      <c r="F254" t="s">
        <v>48</v>
      </c>
      <c r="G254" t="str">
        <f>PROPER(TRIM(F254))</f>
        <v>Brian Mutua</v>
      </c>
      <c r="H254" t="s">
        <v>53</v>
      </c>
      <c r="I254" t="s">
        <v>72</v>
      </c>
      <c r="J254" t="str">
        <f>PROPER(TRIM(I254))</f>
        <v>Rechargeable Torch Rt-10</v>
      </c>
      <c r="K254">
        <v>3</v>
      </c>
      <c r="L254">
        <f>IF(K254="",0,K254)</f>
        <v>3</v>
      </c>
      <c r="M254">
        <v>950</v>
      </c>
      <c r="N254">
        <f>IF(M254="",0,M254)</f>
        <v>950</v>
      </c>
      <c r="O254" t="str">
        <f>IF(L254&lt;0,"NEGATIVE QUANTITY","")</f>
        <v/>
      </c>
      <c r="P254">
        <f t="shared" si="18"/>
        <v>3</v>
      </c>
      <c r="Q254">
        <f>VLOOKUP(H254,'Product Cost Lookup'!A:D,4,FALSE)</f>
        <v>600</v>
      </c>
      <c r="R254" t="str">
        <f>VLOOKUP(H254,'Product Cost Lookup'!A:D,3,FALSE)</f>
        <v>Electronics</v>
      </c>
      <c r="S254">
        <f t="shared" si="19"/>
        <v>2850</v>
      </c>
      <c r="T254">
        <f t="shared" si="20"/>
        <v>1800</v>
      </c>
      <c r="U254">
        <f t="shared" si="21"/>
        <v>1050</v>
      </c>
      <c r="V254" s="3">
        <f t="shared" si="22"/>
        <v>0.36842105263157893</v>
      </c>
      <c r="W254" t="str">
        <f t="shared" si="23"/>
        <v>Mar</v>
      </c>
    </row>
    <row r="255" spans="1:23">
      <c r="A255">
        <v>10309</v>
      </c>
      <c r="B255" s="1">
        <v>45336</v>
      </c>
      <c r="C255">
        <v>45336</v>
      </c>
      <c r="D255" t="s">
        <v>98</v>
      </c>
      <c r="E255" t="str">
        <f>IF(TRIM(D255)="","Unknown",PROPER(TRIM(D255)))</f>
        <v>Nairobi</v>
      </c>
      <c r="F255" t="s">
        <v>48</v>
      </c>
      <c r="G255" t="str">
        <f>PROPER(TRIM(F255))</f>
        <v>Brian Mutua</v>
      </c>
      <c r="H255" t="s">
        <v>50</v>
      </c>
      <c r="I255" t="s">
        <v>89</v>
      </c>
      <c r="J255" t="str">
        <f>PROPER(TRIM(I255))</f>
        <v>Solar Lantern Sl-200</v>
      </c>
      <c r="K255">
        <v>6</v>
      </c>
      <c r="L255">
        <f>IF(K255="",0,K255)</f>
        <v>6</v>
      </c>
      <c r="M255">
        <v>1550</v>
      </c>
      <c r="N255">
        <f>IF(M255="",0,M255)</f>
        <v>1550</v>
      </c>
      <c r="O255" t="str">
        <f>IF(L255&lt;0,"NEGATIVE QUANTITY","")</f>
        <v/>
      </c>
      <c r="P255">
        <f t="shared" si="18"/>
        <v>6</v>
      </c>
      <c r="Q255">
        <f>VLOOKUP(H255,'Product Cost Lookup'!A:D,4,FALSE)</f>
        <v>900</v>
      </c>
      <c r="R255" t="str">
        <f>VLOOKUP(H255,'Product Cost Lookup'!A:D,3,FALSE)</f>
        <v>Electronics</v>
      </c>
      <c r="S255">
        <f t="shared" si="19"/>
        <v>9300</v>
      </c>
      <c r="T255">
        <f t="shared" si="20"/>
        <v>5400</v>
      </c>
      <c r="U255">
        <f t="shared" si="21"/>
        <v>3900</v>
      </c>
      <c r="V255" s="3">
        <f t="shared" si="22"/>
        <v>0.41935483870967744</v>
      </c>
      <c r="W255" t="str">
        <f t="shared" si="23"/>
        <v>Feb</v>
      </c>
    </row>
    <row r="256" spans="1:23">
      <c r="A256">
        <v>10075</v>
      </c>
      <c r="B256" s="1">
        <v>45337</v>
      </c>
      <c r="C256">
        <v>45337</v>
      </c>
      <c r="D256" t="s">
        <v>74</v>
      </c>
      <c r="E256" t="str">
        <f>IF(TRIM(D256)="","Unknown",PROPER(TRIM(D256)))</f>
        <v>Nairobi</v>
      </c>
      <c r="F256" t="s">
        <v>167</v>
      </c>
      <c r="G256" t="str">
        <f>PROPER(TRIM(F256))</f>
        <v>Brian Mutua</v>
      </c>
      <c r="H256" t="s">
        <v>93</v>
      </c>
      <c r="I256" t="s">
        <v>94</v>
      </c>
      <c r="J256" t="str">
        <f>PROPER(TRIM(I256))</f>
        <v>Non-Stick Frying Pan 28Cm</v>
      </c>
      <c r="K256">
        <v>4</v>
      </c>
      <c r="L256">
        <f>IF(K256="",0,K256)</f>
        <v>4</v>
      </c>
      <c r="M256">
        <v>1050</v>
      </c>
      <c r="N256">
        <f>IF(M256="",0,M256)</f>
        <v>1050</v>
      </c>
      <c r="O256" t="str">
        <f>IF(L256&lt;0,"NEGATIVE QUANTITY","")</f>
        <v/>
      </c>
      <c r="P256">
        <f t="shared" si="18"/>
        <v>4</v>
      </c>
      <c r="Q256">
        <f>VLOOKUP(H256,'Product Cost Lookup'!A:D,4,FALSE)</f>
        <v>700</v>
      </c>
      <c r="R256" t="str">
        <f>VLOOKUP(H256,'Product Cost Lookup'!A:D,3,FALSE)</f>
        <v>Kitchenware</v>
      </c>
      <c r="S256">
        <f t="shared" si="19"/>
        <v>4200</v>
      </c>
      <c r="T256">
        <f t="shared" si="20"/>
        <v>2800</v>
      </c>
      <c r="U256">
        <f t="shared" si="21"/>
        <v>1400</v>
      </c>
      <c r="V256" s="3">
        <f t="shared" si="22"/>
        <v>0.33333333333333331</v>
      </c>
      <c r="W256" t="str">
        <f t="shared" si="23"/>
        <v>Feb</v>
      </c>
    </row>
    <row r="257" spans="1:23">
      <c r="A257">
        <v>10221</v>
      </c>
      <c r="B257" s="1">
        <v>45318</v>
      </c>
      <c r="C257">
        <v>45318</v>
      </c>
      <c r="D257" t="s">
        <v>15</v>
      </c>
      <c r="E257" t="str">
        <f>IF(TRIM(D257)="","Unknown",PROPER(TRIM(D257)))</f>
        <v>Mombasa</v>
      </c>
      <c r="F257" t="s">
        <v>46</v>
      </c>
      <c r="G257" t="str">
        <f>PROPER(TRIM(F257))</f>
        <v>Samuel Kiptoo</v>
      </c>
      <c r="H257" t="s">
        <v>50</v>
      </c>
      <c r="I257" t="s">
        <v>89</v>
      </c>
      <c r="J257" t="str">
        <f>PROPER(TRIM(I257))</f>
        <v>Solar Lantern Sl-200</v>
      </c>
      <c r="K257">
        <v>10</v>
      </c>
      <c r="L257">
        <f>IF(K257="",0,K257)</f>
        <v>10</v>
      </c>
      <c r="M257">
        <v>1400</v>
      </c>
      <c r="N257">
        <f>IF(M257="",0,M257)</f>
        <v>1400</v>
      </c>
      <c r="O257" t="str">
        <f>IF(L257&lt;0,"NEGATIVE QUANTITY","")</f>
        <v/>
      </c>
      <c r="P257">
        <f t="shared" si="18"/>
        <v>10</v>
      </c>
      <c r="Q257">
        <f>VLOOKUP(H257,'Product Cost Lookup'!A:D,4,FALSE)</f>
        <v>900</v>
      </c>
      <c r="R257" t="str">
        <f>VLOOKUP(H257,'Product Cost Lookup'!A:D,3,FALSE)</f>
        <v>Electronics</v>
      </c>
      <c r="S257">
        <f t="shared" si="19"/>
        <v>14000</v>
      </c>
      <c r="T257">
        <f t="shared" si="20"/>
        <v>9000</v>
      </c>
      <c r="U257">
        <f t="shared" si="21"/>
        <v>5000</v>
      </c>
      <c r="V257" s="3">
        <f t="shared" si="22"/>
        <v>0.35714285714285715</v>
      </c>
      <c r="W257" t="str">
        <f t="shared" si="23"/>
        <v>Jan</v>
      </c>
    </row>
    <row r="258" spans="1:23">
      <c r="A258">
        <v>10070</v>
      </c>
      <c r="B258" s="1">
        <v>45338</v>
      </c>
      <c r="C258">
        <v>45338</v>
      </c>
      <c r="D258" t="s">
        <v>100</v>
      </c>
      <c r="E258" t="str">
        <f>IF(TRIM(D258)="","Unknown",PROPER(TRIM(D258)))</f>
        <v>Eldoret</v>
      </c>
      <c r="F258" t="s">
        <v>46</v>
      </c>
      <c r="G258" t="str">
        <f>PROPER(TRIM(F258))</f>
        <v>Samuel Kiptoo</v>
      </c>
      <c r="H258" t="s">
        <v>55</v>
      </c>
      <c r="I258" t="s">
        <v>56</v>
      </c>
      <c r="J258" t="str">
        <f>PROPER(TRIM(I258))</f>
        <v>Led Bulb 9W (Pack Of 4)</v>
      </c>
      <c r="K258">
        <v>3</v>
      </c>
      <c r="L258">
        <f>IF(K258="",0,K258)</f>
        <v>3</v>
      </c>
      <c r="M258">
        <v>780</v>
      </c>
      <c r="N258">
        <f>IF(M258="",0,M258)</f>
        <v>780</v>
      </c>
      <c r="O258" t="str">
        <f>IF(L258&lt;0,"NEGATIVE QUANTITY","")</f>
        <v/>
      </c>
      <c r="P258">
        <f t="shared" ref="P258:P321" si="24">ABS(L258)</f>
        <v>3</v>
      </c>
      <c r="Q258">
        <f>VLOOKUP(H258,'Product Cost Lookup'!A:D,4,FALSE)</f>
        <v>480</v>
      </c>
      <c r="R258" t="str">
        <f>VLOOKUP(H258,'Product Cost Lookup'!A:D,3,FALSE)</f>
        <v>Electronics</v>
      </c>
      <c r="S258">
        <f t="shared" ref="S258:S321" si="25">P258*N258</f>
        <v>2340</v>
      </c>
      <c r="T258">
        <f t="shared" ref="T258:T321" si="26">P258*Q258</f>
        <v>1440</v>
      </c>
      <c r="U258">
        <f t="shared" si="21"/>
        <v>900</v>
      </c>
      <c r="V258" s="3">
        <f t="shared" si="22"/>
        <v>0.38461538461538464</v>
      </c>
      <c r="W258" t="str">
        <f t="shared" si="23"/>
        <v>Feb</v>
      </c>
    </row>
    <row r="259" spans="1:23">
      <c r="A259">
        <v>10269</v>
      </c>
      <c r="B259" s="1">
        <v>45377</v>
      </c>
      <c r="C259">
        <v>45377</v>
      </c>
      <c r="D259" t="s">
        <v>35</v>
      </c>
      <c r="E259" t="str">
        <f>IF(TRIM(D259)="","Unknown",PROPER(TRIM(D259)))</f>
        <v>Kisumu</v>
      </c>
      <c r="F259" t="s">
        <v>81</v>
      </c>
      <c r="G259" t="str">
        <f>PROPER(TRIM(F259))</f>
        <v>Aisha Hassan</v>
      </c>
      <c r="H259" t="s">
        <v>77</v>
      </c>
      <c r="I259" t="s">
        <v>78</v>
      </c>
      <c r="J259" t="str">
        <f>PROPER(TRIM(I259))</f>
        <v>Cooking Gas Burner Cb-2</v>
      </c>
      <c r="K259">
        <v>20</v>
      </c>
      <c r="L259">
        <f>IF(K259="",0,K259)</f>
        <v>20</v>
      </c>
      <c r="M259">
        <v>1950</v>
      </c>
      <c r="N259">
        <f>IF(M259="",0,M259)</f>
        <v>1950</v>
      </c>
      <c r="O259" t="str">
        <f>IF(L259&lt;0,"NEGATIVE QUANTITY","")</f>
        <v/>
      </c>
      <c r="P259">
        <f t="shared" si="24"/>
        <v>20</v>
      </c>
      <c r="Q259">
        <f>VLOOKUP(H259,'Product Cost Lookup'!A:D,4,FALSE)</f>
        <v>1200</v>
      </c>
      <c r="R259" t="str">
        <f>VLOOKUP(H259,'Product Cost Lookup'!A:D,3,FALSE)</f>
        <v>Kitchenware</v>
      </c>
      <c r="S259">
        <f t="shared" si="25"/>
        <v>39000</v>
      </c>
      <c r="T259">
        <f t="shared" si="26"/>
        <v>24000</v>
      </c>
      <c r="U259">
        <f t="shared" ref="U259:U322" si="27">S259-T259</f>
        <v>15000</v>
      </c>
      <c r="V259" s="3">
        <f t="shared" ref="V259:V322" si="28">IF(S259=0,0,U259/S259)</f>
        <v>0.38461538461538464</v>
      </c>
      <c r="W259" t="str">
        <f t="shared" ref="W259:W322" si="29">TEXT(C259,"mmm")</f>
        <v>Mar</v>
      </c>
    </row>
    <row r="260" spans="1:23">
      <c r="A260">
        <v>10159</v>
      </c>
      <c r="B260" s="1">
        <v>45380</v>
      </c>
      <c r="C260">
        <v>45380</v>
      </c>
      <c r="D260" t="s">
        <v>40</v>
      </c>
      <c r="E260" t="str">
        <f>IF(TRIM(D260)="","Unknown",PROPER(TRIM(D260)))</f>
        <v>Thika</v>
      </c>
      <c r="F260" t="s">
        <v>16</v>
      </c>
      <c r="G260" t="str">
        <f>PROPER(TRIM(F260))</f>
        <v>Grace Achieng</v>
      </c>
      <c r="H260" t="s">
        <v>111</v>
      </c>
      <c r="I260" t="s">
        <v>112</v>
      </c>
      <c r="J260" t="str">
        <f>PROPER(TRIM(I260))</f>
        <v>Thermos Flask 1L</v>
      </c>
      <c r="K260">
        <v>6</v>
      </c>
      <c r="L260">
        <f>IF(K260="",0,K260)</f>
        <v>6</v>
      </c>
      <c r="M260">
        <v>850</v>
      </c>
      <c r="N260">
        <f>IF(M260="",0,M260)</f>
        <v>850</v>
      </c>
      <c r="O260" t="str">
        <f>IF(L260&lt;0,"NEGATIVE QUANTITY","")</f>
        <v/>
      </c>
      <c r="P260">
        <f t="shared" si="24"/>
        <v>6</v>
      </c>
      <c r="Q260">
        <f>VLOOKUP(H260,'Product Cost Lookup'!A:D,4,FALSE)</f>
        <v>550</v>
      </c>
      <c r="R260" t="str">
        <f>VLOOKUP(H260,'Product Cost Lookup'!A:D,3,FALSE)</f>
        <v>Kitchenware</v>
      </c>
      <c r="S260">
        <f t="shared" si="25"/>
        <v>5100</v>
      </c>
      <c r="T260">
        <f t="shared" si="26"/>
        <v>3300</v>
      </c>
      <c r="U260">
        <f t="shared" si="27"/>
        <v>1800</v>
      </c>
      <c r="V260" s="3">
        <f t="shared" si="28"/>
        <v>0.35294117647058826</v>
      </c>
      <c r="W260" t="str">
        <f t="shared" si="29"/>
        <v>Mar</v>
      </c>
    </row>
    <row r="261" spans="1:23">
      <c r="A261">
        <v>10275</v>
      </c>
      <c r="B261" s="1">
        <v>45374</v>
      </c>
      <c r="C261">
        <v>45374</v>
      </c>
      <c r="D261" t="s">
        <v>35</v>
      </c>
      <c r="E261" t="str">
        <f>IF(TRIM(D261)="","Unknown",PROPER(TRIM(D261)))</f>
        <v>Kisumu</v>
      </c>
      <c r="F261" t="s">
        <v>149</v>
      </c>
      <c r="G261" t="str">
        <f>PROPER(TRIM(F261))</f>
        <v>John Mwangi</v>
      </c>
      <c r="H261" t="s">
        <v>111</v>
      </c>
      <c r="I261" t="s">
        <v>112</v>
      </c>
      <c r="J261" t="str">
        <f>PROPER(TRIM(I261))</f>
        <v>Thermos Flask 1L</v>
      </c>
      <c r="K261">
        <v>12</v>
      </c>
      <c r="L261">
        <f>IF(K261="",0,K261)</f>
        <v>12</v>
      </c>
      <c r="N261">
        <f>IF(M261="",0,M261)</f>
        <v>0</v>
      </c>
      <c r="O261" t="str">
        <f>IF(L261&lt;0,"NEGATIVE QUANTITY","")</f>
        <v/>
      </c>
      <c r="P261">
        <f t="shared" si="24"/>
        <v>12</v>
      </c>
      <c r="Q261">
        <f>VLOOKUP(H261,'Product Cost Lookup'!A:D,4,FALSE)</f>
        <v>550</v>
      </c>
      <c r="R261" t="str">
        <f>VLOOKUP(H261,'Product Cost Lookup'!A:D,3,FALSE)</f>
        <v>Kitchenware</v>
      </c>
      <c r="S261">
        <f t="shared" si="25"/>
        <v>0</v>
      </c>
      <c r="T261">
        <f t="shared" si="26"/>
        <v>6600</v>
      </c>
      <c r="U261">
        <f t="shared" si="27"/>
        <v>-6600</v>
      </c>
      <c r="V261" s="3">
        <f t="shared" si="28"/>
        <v>0</v>
      </c>
      <c r="W261" t="str">
        <f t="shared" si="29"/>
        <v>Mar</v>
      </c>
    </row>
    <row r="262" spans="1:23">
      <c r="A262">
        <v>10104</v>
      </c>
      <c r="B262" t="s">
        <v>28</v>
      </c>
      <c r="C262">
        <v>45306</v>
      </c>
      <c r="D262" t="s">
        <v>41</v>
      </c>
      <c r="E262" t="str">
        <f>IF(TRIM(D262)="","Unknown",PROPER(TRIM(D262)))</f>
        <v>Nakuru</v>
      </c>
      <c r="F262" t="s">
        <v>62</v>
      </c>
      <c r="G262" t="str">
        <f>PROPER(TRIM(F262))</f>
        <v>John Mwangi</v>
      </c>
      <c r="H262" t="s">
        <v>33</v>
      </c>
      <c r="I262" t="s">
        <v>34</v>
      </c>
      <c r="J262" t="str">
        <f>PROPER(TRIM(I262))</f>
        <v>Padlock Set (3Pc)</v>
      </c>
      <c r="K262">
        <v>12</v>
      </c>
      <c r="L262">
        <f>IF(K262="",0,K262)</f>
        <v>12</v>
      </c>
      <c r="M262">
        <v>800</v>
      </c>
      <c r="N262">
        <f>IF(M262="",0,M262)</f>
        <v>800</v>
      </c>
      <c r="O262" t="str">
        <f>IF(L262&lt;0,"NEGATIVE QUANTITY","")</f>
        <v/>
      </c>
      <c r="P262">
        <f t="shared" si="24"/>
        <v>12</v>
      </c>
      <c r="Q262">
        <f>VLOOKUP(H262,'Product Cost Lookup'!A:D,4,FALSE)</f>
        <v>450</v>
      </c>
      <c r="R262" t="str">
        <f>VLOOKUP(H262,'Product Cost Lookup'!A:D,3,FALSE)</f>
        <v>Hardware</v>
      </c>
      <c r="S262">
        <f t="shared" si="25"/>
        <v>9600</v>
      </c>
      <c r="T262">
        <f t="shared" si="26"/>
        <v>5400</v>
      </c>
      <c r="U262">
        <f t="shared" si="27"/>
        <v>4200</v>
      </c>
      <c r="V262" s="3">
        <f t="shared" si="28"/>
        <v>0.4375</v>
      </c>
      <c r="W262" t="str">
        <f t="shared" si="29"/>
        <v>Jan</v>
      </c>
    </row>
    <row r="263" spans="1:23">
      <c r="A263">
        <v>10290</v>
      </c>
      <c r="B263" s="1">
        <v>45627</v>
      </c>
      <c r="C263">
        <v>45627</v>
      </c>
      <c r="D263" t="s">
        <v>41</v>
      </c>
      <c r="E263" t="str">
        <f>IF(TRIM(D263)="","Unknown",PROPER(TRIM(D263)))</f>
        <v>Nakuru</v>
      </c>
      <c r="F263" t="s">
        <v>9</v>
      </c>
      <c r="G263" t="str">
        <f>PROPER(TRIM(F263))</f>
        <v>Peter Otieno</v>
      </c>
      <c r="H263" t="s">
        <v>21</v>
      </c>
      <c r="I263" t="s">
        <v>22</v>
      </c>
      <c r="J263" t="str">
        <f>PROPER(TRIM(I263))</f>
        <v>Water Dispenser Stand</v>
      </c>
      <c r="K263">
        <v>15</v>
      </c>
      <c r="L263">
        <f>IF(K263="",0,K263)</f>
        <v>15</v>
      </c>
      <c r="M263">
        <v>2400</v>
      </c>
      <c r="N263">
        <f>IF(M263="",0,M263)</f>
        <v>2400</v>
      </c>
      <c r="O263" t="str">
        <f>IF(L263&lt;0,"NEGATIVE QUANTITY","")</f>
        <v/>
      </c>
      <c r="P263">
        <f t="shared" si="24"/>
        <v>15</v>
      </c>
      <c r="Q263">
        <f>VLOOKUP(H263,'Product Cost Lookup'!A:D,4,FALSE)</f>
        <v>1500</v>
      </c>
      <c r="R263" t="str">
        <f>VLOOKUP(H263,'Product Cost Lookup'!A:D,3,FALSE)</f>
        <v>Household</v>
      </c>
      <c r="S263">
        <f t="shared" si="25"/>
        <v>36000</v>
      </c>
      <c r="T263">
        <f t="shared" si="26"/>
        <v>22500</v>
      </c>
      <c r="U263">
        <f t="shared" si="27"/>
        <v>13500</v>
      </c>
      <c r="V263" s="3">
        <f t="shared" si="28"/>
        <v>0.375</v>
      </c>
      <c r="W263" t="str">
        <f t="shared" si="29"/>
        <v>Dec</v>
      </c>
    </row>
    <row r="264" spans="1:23">
      <c r="A264">
        <v>10106</v>
      </c>
      <c r="B264" s="1">
        <v>45334</v>
      </c>
      <c r="C264">
        <v>45334</v>
      </c>
      <c r="D264" t="s">
        <v>15</v>
      </c>
      <c r="E264" t="str">
        <f>IF(TRIM(D264)="","Unknown",PROPER(TRIM(D264)))</f>
        <v>Mombasa</v>
      </c>
      <c r="F264" t="s">
        <v>110</v>
      </c>
      <c r="G264" t="str">
        <f>PROPER(TRIM(F264))</f>
        <v>John Mwangi</v>
      </c>
      <c r="H264" t="s">
        <v>25</v>
      </c>
      <c r="I264" t="s">
        <v>97</v>
      </c>
      <c r="J264" t="str">
        <f>PROPER(TRIM(I264))</f>
        <v>Plastic Storage Basket (L)</v>
      </c>
      <c r="K264">
        <v>12</v>
      </c>
      <c r="L264">
        <f>IF(K264="",0,K264)</f>
        <v>12</v>
      </c>
      <c r="M264">
        <v>420</v>
      </c>
      <c r="N264">
        <f>IF(M264="",0,M264)</f>
        <v>420</v>
      </c>
      <c r="O264" t="str">
        <f>IF(L264&lt;0,"NEGATIVE QUANTITY","")</f>
        <v/>
      </c>
      <c r="P264">
        <f t="shared" si="24"/>
        <v>12</v>
      </c>
      <c r="Q264">
        <f>VLOOKUP(H264,'Product Cost Lookup'!A:D,4,FALSE)</f>
        <v>250</v>
      </c>
      <c r="R264" t="str">
        <f>VLOOKUP(H264,'Product Cost Lookup'!A:D,3,FALSE)</f>
        <v>Household</v>
      </c>
      <c r="S264">
        <f t="shared" si="25"/>
        <v>5040</v>
      </c>
      <c r="T264">
        <f t="shared" si="26"/>
        <v>3000</v>
      </c>
      <c r="U264">
        <f t="shared" si="27"/>
        <v>2040</v>
      </c>
      <c r="V264" s="3">
        <f t="shared" si="28"/>
        <v>0.40476190476190477</v>
      </c>
      <c r="W264" t="str">
        <f t="shared" si="29"/>
        <v>Feb</v>
      </c>
    </row>
    <row r="265" spans="1:23">
      <c r="A265">
        <v>10068</v>
      </c>
      <c r="B265" s="1">
        <v>45414</v>
      </c>
      <c r="C265">
        <v>45414</v>
      </c>
      <c r="D265" t="s">
        <v>98</v>
      </c>
      <c r="E265" t="str">
        <f>IF(TRIM(D265)="","Unknown",PROPER(TRIM(D265)))</f>
        <v>Nairobi</v>
      </c>
      <c r="F265" t="s">
        <v>149</v>
      </c>
      <c r="G265" t="str">
        <f>PROPER(TRIM(F265))</f>
        <v>John Mwangi</v>
      </c>
      <c r="H265" t="s">
        <v>21</v>
      </c>
      <c r="I265" t="s">
        <v>22</v>
      </c>
      <c r="J265" t="str">
        <f>PROPER(TRIM(I265))</f>
        <v>Water Dispenser Stand</v>
      </c>
      <c r="K265">
        <v>15</v>
      </c>
      <c r="L265">
        <f>IF(K265="",0,K265)</f>
        <v>15</v>
      </c>
      <c r="M265">
        <v>2350</v>
      </c>
      <c r="N265">
        <f>IF(M265="",0,M265)</f>
        <v>2350</v>
      </c>
      <c r="O265" t="str">
        <f>IF(L265&lt;0,"NEGATIVE QUANTITY","")</f>
        <v/>
      </c>
      <c r="P265">
        <f t="shared" si="24"/>
        <v>15</v>
      </c>
      <c r="Q265">
        <f>VLOOKUP(H265,'Product Cost Lookup'!A:D,4,FALSE)</f>
        <v>1500</v>
      </c>
      <c r="R265" t="str">
        <f>VLOOKUP(H265,'Product Cost Lookup'!A:D,3,FALSE)</f>
        <v>Household</v>
      </c>
      <c r="S265">
        <f t="shared" si="25"/>
        <v>35250</v>
      </c>
      <c r="T265">
        <f t="shared" si="26"/>
        <v>22500</v>
      </c>
      <c r="U265">
        <f t="shared" si="27"/>
        <v>12750</v>
      </c>
      <c r="V265" s="3">
        <f t="shared" si="28"/>
        <v>0.36170212765957449</v>
      </c>
      <c r="W265" t="str">
        <f t="shared" si="29"/>
        <v>May</v>
      </c>
    </row>
    <row r="266" spans="1:23">
      <c r="A266">
        <v>10278</v>
      </c>
      <c r="B266" t="s">
        <v>169</v>
      </c>
      <c r="C266">
        <v>45370</v>
      </c>
      <c r="D266" t="s">
        <v>40</v>
      </c>
      <c r="E266" t="str">
        <f>IF(TRIM(D266)="","Unknown",PROPER(TRIM(D266)))</f>
        <v>Thika</v>
      </c>
      <c r="F266" t="s">
        <v>46</v>
      </c>
      <c r="G266" t="str">
        <f>PROPER(TRIM(F266))</f>
        <v>Samuel Kiptoo</v>
      </c>
      <c r="H266" t="s">
        <v>30</v>
      </c>
      <c r="I266" t="s">
        <v>31</v>
      </c>
      <c r="J266" t="str">
        <f>PROPER(TRIM(I266))</f>
        <v>Garden Hose 20M</v>
      </c>
      <c r="K266">
        <v>15</v>
      </c>
      <c r="L266">
        <f>IF(K266="",0,K266)</f>
        <v>15</v>
      </c>
      <c r="M266">
        <v>1700</v>
      </c>
      <c r="N266">
        <f>IF(M266="",0,M266)</f>
        <v>1700</v>
      </c>
      <c r="O266" t="str">
        <f>IF(L266&lt;0,"NEGATIVE QUANTITY","")</f>
        <v/>
      </c>
      <c r="P266">
        <f t="shared" si="24"/>
        <v>15</v>
      </c>
      <c r="Q266">
        <f>VLOOKUP(H266,'Product Cost Lookup'!A:D,4,FALSE)</f>
        <v>1100</v>
      </c>
      <c r="R266" t="str">
        <f>VLOOKUP(H266,'Product Cost Lookup'!A:D,3,FALSE)</f>
        <v>Hardware</v>
      </c>
      <c r="S266">
        <f t="shared" si="25"/>
        <v>25500</v>
      </c>
      <c r="T266">
        <f t="shared" si="26"/>
        <v>16500</v>
      </c>
      <c r="U266">
        <f t="shared" si="27"/>
        <v>9000</v>
      </c>
      <c r="V266" s="3">
        <f t="shared" si="28"/>
        <v>0.35294117647058826</v>
      </c>
      <c r="W266" t="str">
        <f t="shared" si="29"/>
        <v>Mar</v>
      </c>
    </row>
    <row r="267" spans="1:23">
      <c r="A267">
        <v>10230</v>
      </c>
      <c r="B267" s="1">
        <v>45296</v>
      </c>
      <c r="C267">
        <v>45296</v>
      </c>
      <c r="D267" t="s">
        <v>41</v>
      </c>
      <c r="E267" t="str">
        <f>IF(TRIM(D267)="","Unknown",PROPER(TRIM(D267)))</f>
        <v>Nakuru</v>
      </c>
      <c r="F267" t="s">
        <v>149</v>
      </c>
      <c r="G267" t="str">
        <f>PROPER(TRIM(F267))</f>
        <v>John Mwangi</v>
      </c>
      <c r="H267" t="s">
        <v>21</v>
      </c>
      <c r="I267" t="s">
        <v>22</v>
      </c>
      <c r="J267" t="str">
        <f>PROPER(TRIM(I267))</f>
        <v>Water Dispenser Stand</v>
      </c>
      <c r="K267">
        <v>6</v>
      </c>
      <c r="L267">
        <f>IF(K267="",0,K267)</f>
        <v>6</v>
      </c>
      <c r="M267">
        <v>2300</v>
      </c>
      <c r="N267">
        <f>IF(M267="",0,M267)</f>
        <v>2300</v>
      </c>
      <c r="O267" t="str">
        <f>IF(L267&lt;0,"NEGATIVE QUANTITY","")</f>
        <v/>
      </c>
      <c r="P267">
        <f t="shared" si="24"/>
        <v>6</v>
      </c>
      <c r="Q267">
        <f>VLOOKUP(H267,'Product Cost Lookup'!A:D,4,FALSE)</f>
        <v>1500</v>
      </c>
      <c r="R267" t="str">
        <f>VLOOKUP(H267,'Product Cost Lookup'!A:D,3,FALSE)</f>
        <v>Household</v>
      </c>
      <c r="S267">
        <f t="shared" si="25"/>
        <v>13800</v>
      </c>
      <c r="T267">
        <f t="shared" si="26"/>
        <v>9000</v>
      </c>
      <c r="U267">
        <f t="shared" si="27"/>
        <v>4800</v>
      </c>
      <c r="V267" s="3">
        <f t="shared" si="28"/>
        <v>0.34782608695652173</v>
      </c>
      <c r="W267" t="str">
        <f t="shared" si="29"/>
        <v>Jan</v>
      </c>
    </row>
    <row r="268" spans="1:23">
      <c r="A268">
        <v>10169</v>
      </c>
      <c r="B268" s="1">
        <v>45343</v>
      </c>
      <c r="C268">
        <v>45343</v>
      </c>
      <c r="D268" t="s">
        <v>35</v>
      </c>
      <c r="E268" t="str">
        <f>IF(TRIM(D268)="","Unknown",PROPER(TRIM(D268)))</f>
        <v>Kisumu</v>
      </c>
      <c r="F268" t="s">
        <v>48</v>
      </c>
      <c r="G268" t="str">
        <f>PROPER(TRIM(F268))</f>
        <v>Brian Mutua</v>
      </c>
      <c r="H268" t="s">
        <v>50</v>
      </c>
      <c r="I268" t="s">
        <v>51</v>
      </c>
      <c r="J268" t="str">
        <f>PROPER(TRIM(I268))</f>
        <v>Solar Lantern Sl200</v>
      </c>
      <c r="K268">
        <v>1</v>
      </c>
      <c r="L268">
        <f>IF(K268="",0,K268)</f>
        <v>1</v>
      </c>
      <c r="M268">
        <v>1400</v>
      </c>
      <c r="N268">
        <f>IF(M268="",0,M268)</f>
        <v>1400</v>
      </c>
      <c r="O268" t="str">
        <f>IF(L268&lt;0,"NEGATIVE QUANTITY","")</f>
        <v/>
      </c>
      <c r="P268">
        <f t="shared" si="24"/>
        <v>1</v>
      </c>
      <c r="Q268">
        <f>VLOOKUP(H268,'Product Cost Lookup'!A:D,4,FALSE)</f>
        <v>900</v>
      </c>
      <c r="R268" t="str">
        <f>VLOOKUP(H268,'Product Cost Lookup'!A:D,3,FALSE)</f>
        <v>Electronics</v>
      </c>
      <c r="S268">
        <f t="shared" si="25"/>
        <v>1400</v>
      </c>
      <c r="T268">
        <f t="shared" si="26"/>
        <v>900</v>
      </c>
      <c r="U268">
        <f t="shared" si="27"/>
        <v>500</v>
      </c>
      <c r="V268" s="3">
        <f t="shared" si="28"/>
        <v>0.35714285714285715</v>
      </c>
      <c r="W268" t="str">
        <f t="shared" si="29"/>
        <v>Feb</v>
      </c>
    </row>
    <row r="269" spans="1:23">
      <c r="A269">
        <v>10160</v>
      </c>
      <c r="B269" s="1">
        <v>45349</v>
      </c>
      <c r="C269">
        <v>45349</v>
      </c>
      <c r="D269" t="s">
        <v>152</v>
      </c>
      <c r="E269" t="str">
        <f>IF(TRIM(D269)="","Unknown",PROPER(TRIM(D269)))</f>
        <v>Nakuru</v>
      </c>
      <c r="F269" t="s">
        <v>14</v>
      </c>
      <c r="G269" t="str">
        <f>PROPER(TRIM(F269))</f>
        <v>Faith Wanjiru</v>
      </c>
      <c r="H269" t="s">
        <v>25</v>
      </c>
      <c r="I269" t="s">
        <v>26</v>
      </c>
      <c r="J269" t="str">
        <f>PROPER(TRIM(I269))</f>
        <v>Plastic Storage Basket L</v>
      </c>
      <c r="K269">
        <v>12</v>
      </c>
      <c r="L269">
        <f>IF(K269="",0,K269)</f>
        <v>12</v>
      </c>
      <c r="M269">
        <v>470</v>
      </c>
      <c r="N269">
        <f>IF(M269="",0,M269)</f>
        <v>470</v>
      </c>
      <c r="O269" t="str">
        <f>IF(L269&lt;0,"NEGATIVE QUANTITY","")</f>
        <v/>
      </c>
      <c r="P269">
        <f t="shared" si="24"/>
        <v>12</v>
      </c>
      <c r="Q269">
        <f>VLOOKUP(H269,'Product Cost Lookup'!A:D,4,FALSE)</f>
        <v>250</v>
      </c>
      <c r="R269" t="str">
        <f>VLOOKUP(H269,'Product Cost Lookup'!A:D,3,FALSE)</f>
        <v>Household</v>
      </c>
      <c r="S269">
        <f t="shared" si="25"/>
        <v>5640</v>
      </c>
      <c r="T269">
        <f t="shared" si="26"/>
        <v>3000</v>
      </c>
      <c r="U269">
        <f t="shared" si="27"/>
        <v>2640</v>
      </c>
      <c r="V269" s="3">
        <f t="shared" si="28"/>
        <v>0.46808510638297873</v>
      </c>
      <c r="W269" t="str">
        <f t="shared" si="29"/>
        <v>Feb</v>
      </c>
    </row>
    <row r="270" spans="1:23">
      <c r="A270">
        <v>10219</v>
      </c>
      <c r="B270" s="1">
        <v>45303</v>
      </c>
      <c r="C270">
        <v>45303</v>
      </c>
      <c r="D270" t="s">
        <v>35</v>
      </c>
      <c r="E270" t="str">
        <f>IF(TRIM(D270)="","Unknown",PROPER(TRIM(D270)))</f>
        <v>Kisumu</v>
      </c>
      <c r="F270" t="s">
        <v>81</v>
      </c>
      <c r="G270" t="str">
        <f>PROPER(TRIM(F270))</f>
        <v>Aisha Hassan</v>
      </c>
      <c r="H270" t="s">
        <v>30</v>
      </c>
      <c r="I270" t="s">
        <v>31</v>
      </c>
      <c r="J270" t="str">
        <f>PROPER(TRIM(I270))</f>
        <v>Garden Hose 20M</v>
      </c>
      <c r="K270">
        <v>1</v>
      </c>
      <c r="L270">
        <f>IF(K270="",0,K270)</f>
        <v>1</v>
      </c>
      <c r="M270">
        <v>1750</v>
      </c>
      <c r="N270">
        <f>IF(M270="",0,M270)</f>
        <v>1750</v>
      </c>
      <c r="O270" t="str">
        <f>IF(L270&lt;0,"NEGATIVE QUANTITY","")</f>
        <v/>
      </c>
      <c r="P270">
        <f t="shared" si="24"/>
        <v>1</v>
      </c>
      <c r="Q270">
        <f>VLOOKUP(H270,'Product Cost Lookup'!A:D,4,FALSE)</f>
        <v>1100</v>
      </c>
      <c r="R270" t="str">
        <f>VLOOKUP(H270,'Product Cost Lookup'!A:D,3,FALSE)</f>
        <v>Hardware</v>
      </c>
      <c r="S270">
        <f t="shared" si="25"/>
        <v>1750</v>
      </c>
      <c r="T270">
        <f t="shared" si="26"/>
        <v>1100</v>
      </c>
      <c r="U270">
        <f t="shared" si="27"/>
        <v>650</v>
      </c>
      <c r="V270" s="3">
        <f t="shared" si="28"/>
        <v>0.37142857142857144</v>
      </c>
      <c r="W270" t="str">
        <f t="shared" si="29"/>
        <v>Jan</v>
      </c>
    </row>
    <row r="271" spans="1:23">
      <c r="A271">
        <v>10079</v>
      </c>
      <c r="B271" s="1">
        <v>45348</v>
      </c>
      <c r="C271">
        <v>45348</v>
      </c>
      <c r="D271" t="s">
        <v>74</v>
      </c>
      <c r="E271" t="str">
        <f>IF(TRIM(D271)="","Unknown",PROPER(TRIM(D271)))</f>
        <v>Nairobi</v>
      </c>
      <c r="F271" t="s">
        <v>16</v>
      </c>
      <c r="G271" t="str">
        <f>PROPER(TRIM(F271))</f>
        <v>Grace Achieng</v>
      </c>
      <c r="H271" t="s">
        <v>25</v>
      </c>
      <c r="I271" t="s">
        <v>97</v>
      </c>
      <c r="J271" t="str">
        <f>PROPER(TRIM(I271))</f>
        <v>Plastic Storage Basket (L)</v>
      </c>
      <c r="K271">
        <v>15</v>
      </c>
      <c r="L271">
        <f>IF(K271="",0,K271)</f>
        <v>15</v>
      </c>
      <c r="M271">
        <v>420</v>
      </c>
      <c r="N271">
        <f>IF(M271="",0,M271)</f>
        <v>420</v>
      </c>
      <c r="O271" t="str">
        <f>IF(L271&lt;0,"NEGATIVE QUANTITY","")</f>
        <v/>
      </c>
      <c r="P271">
        <f t="shared" si="24"/>
        <v>15</v>
      </c>
      <c r="Q271">
        <f>VLOOKUP(H271,'Product Cost Lookup'!A:D,4,FALSE)</f>
        <v>250</v>
      </c>
      <c r="R271" t="str">
        <f>VLOOKUP(H271,'Product Cost Lookup'!A:D,3,FALSE)</f>
        <v>Household</v>
      </c>
      <c r="S271">
        <f t="shared" si="25"/>
        <v>6300</v>
      </c>
      <c r="T271">
        <f t="shared" si="26"/>
        <v>3750</v>
      </c>
      <c r="U271">
        <f t="shared" si="27"/>
        <v>2550</v>
      </c>
      <c r="V271" s="3">
        <f t="shared" si="28"/>
        <v>0.40476190476190477</v>
      </c>
      <c r="W271" t="str">
        <f t="shared" si="29"/>
        <v>Feb</v>
      </c>
    </row>
    <row r="272" spans="1:23">
      <c r="A272">
        <v>10124</v>
      </c>
      <c r="B272" s="1">
        <v>45379</v>
      </c>
      <c r="C272">
        <v>45379</v>
      </c>
      <c r="D272" t="s">
        <v>79</v>
      </c>
      <c r="E272" t="str">
        <f>IF(TRIM(D272)="","Unknown",PROPER(TRIM(D272)))</f>
        <v>Eldoret</v>
      </c>
      <c r="F272" t="s">
        <v>16</v>
      </c>
      <c r="G272" t="str">
        <f>PROPER(TRIM(F272))</f>
        <v>Grace Achieng</v>
      </c>
      <c r="H272" t="s">
        <v>53</v>
      </c>
      <c r="I272" t="s">
        <v>54</v>
      </c>
      <c r="J272" t="str">
        <f>PROPER(TRIM(I272))</f>
        <v>Rechargeable Torch Rt-10</v>
      </c>
      <c r="K272">
        <v>2</v>
      </c>
      <c r="L272">
        <f>IF(K272="",0,K272)</f>
        <v>2</v>
      </c>
      <c r="M272">
        <v>1000</v>
      </c>
      <c r="N272">
        <f>IF(M272="",0,M272)</f>
        <v>1000</v>
      </c>
      <c r="O272" t="str">
        <f>IF(L272&lt;0,"NEGATIVE QUANTITY","")</f>
        <v/>
      </c>
      <c r="P272">
        <f t="shared" si="24"/>
        <v>2</v>
      </c>
      <c r="Q272">
        <f>VLOOKUP(H272,'Product Cost Lookup'!A:D,4,FALSE)</f>
        <v>600</v>
      </c>
      <c r="R272" t="str">
        <f>VLOOKUP(H272,'Product Cost Lookup'!A:D,3,FALSE)</f>
        <v>Electronics</v>
      </c>
      <c r="S272">
        <f t="shared" si="25"/>
        <v>2000</v>
      </c>
      <c r="T272">
        <f t="shared" si="26"/>
        <v>1200</v>
      </c>
      <c r="U272">
        <f t="shared" si="27"/>
        <v>800</v>
      </c>
      <c r="V272" s="3">
        <f t="shared" si="28"/>
        <v>0.4</v>
      </c>
      <c r="W272" t="str">
        <f t="shared" si="29"/>
        <v>Mar</v>
      </c>
    </row>
    <row r="273" spans="1:23">
      <c r="A273">
        <v>10214</v>
      </c>
      <c r="B273" s="1">
        <v>45330</v>
      </c>
      <c r="C273">
        <v>45330</v>
      </c>
      <c r="D273" t="s">
        <v>35</v>
      </c>
      <c r="E273" t="str">
        <f>IF(TRIM(D273)="","Unknown",PROPER(TRIM(D273)))</f>
        <v>Kisumu</v>
      </c>
      <c r="F273" t="s">
        <v>9</v>
      </c>
      <c r="G273" t="str">
        <f>PROPER(TRIM(F273))</f>
        <v>Peter Otieno</v>
      </c>
      <c r="H273" t="s">
        <v>53</v>
      </c>
      <c r="I273" t="s">
        <v>72</v>
      </c>
      <c r="J273" t="str">
        <f>PROPER(TRIM(I273))</f>
        <v>Rechargeable Torch Rt-10</v>
      </c>
      <c r="K273">
        <v>8</v>
      </c>
      <c r="L273">
        <f>IF(K273="",0,K273)</f>
        <v>8</v>
      </c>
      <c r="M273">
        <v>1000</v>
      </c>
      <c r="N273">
        <f>IF(M273="",0,M273)</f>
        <v>1000</v>
      </c>
      <c r="O273" t="str">
        <f>IF(L273&lt;0,"NEGATIVE QUANTITY","")</f>
        <v/>
      </c>
      <c r="P273">
        <f t="shared" si="24"/>
        <v>8</v>
      </c>
      <c r="Q273">
        <f>VLOOKUP(H273,'Product Cost Lookup'!A:D,4,FALSE)</f>
        <v>600</v>
      </c>
      <c r="R273" t="str">
        <f>VLOOKUP(H273,'Product Cost Lookup'!A:D,3,FALSE)</f>
        <v>Electronics</v>
      </c>
      <c r="S273">
        <f t="shared" si="25"/>
        <v>8000</v>
      </c>
      <c r="T273">
        <f t="shared" si="26"/>
        <v>4800</v>
      </c>
      <c r="U273">
        <f t="shared" si="27"/>
        <v>3200</v>
      </c>
      <c r="V273" s="3">
        <f t="shared" si="28"/>
        <v>0.4</v>
      </c>
      <c r="W273" t="str">
        <f t="shared" si="29"/>
        <v>Feb</v>
      </c>
    </row>
    <row r="274" spans="1:23">
      <c r="A274">
        <v>10117</v>
      </c>
      <c r="B274" t="s">
        <v>170</v>
      </c>
      <c r="C274">
        <v>45320</v>
      </c>
      <c r="D274" t="s">
        <v>35</v>
      </c>
      <c r="E274" t="str">
        <f>IF(TRIM(D274)="","Unknown",PROPER(TRIM(D274)))</f>
        <v>Kisumu</v>
      </c>
      <c r="F274" t="s">
        <v>109</v>
      </c>
      <c r="G274" t="str">
        <f>PROPER(TRIM(F274))</f>
        <v>Samuel Kiptoo</v>
      </c>
      <c r="H274" t="s">
        <v>55</v>
      </c>
      <c r="I274" t="s">
        <v>56</v>
      </c>
      <c r="J274" t="str">
        <f>PROPER(TRIM(I274))</f>
        <v>Led Bulb 9W (Pack Of 4)</v>
      </c>
      <c r="K274">
        <v>2</v>
      </c>
      <c r="L274">
        <f>IF(K274="",0,K274)</f>
        <v>2</v>
      </c>
      <c r="M274">
        <v>780</v>
      </c>
      <c r="N274">
        <f>IF(M274="",0,M274)</f>
        <v>780</v>
      </c>
      <c r="O274" t="str">
        <f>IF(L274&lt;0,"NEGATIVE QUANTITY","")</f>
        <v/>
      </c>
      <c r="P274">
        <f t="shared" si="24"/>
        <v>2</v>
      </c>
      <c r="Q274">
        <f>VLOOKUP(H274,'Product Cost Lookup'!A:D,4,FALSE)</f>
        <v>480</v>
      </c>
      <c r="R274" t="str">
        <f>VLOOKUP(H274,'Product Cost Lookup'!A:D,3,FALSE)</f>
        <v>Electronics</v>
      </c>
      <c r="S274">
        <f t="shared" si="25"/>
        <v>1560</v>
      </c>
      <c r="T274">
        <f t="shared" si="26"/>
        <v>960</v>
      </c>
      <c r="U274">
        <f t="shared" si="27"/>
        <v>600</v>
      </c>
      <c r="V274" s="3">
        <f t="shared" si="28"/>
        <v>0.38461538461538464</v>
      </c>
      <c r="W274" t="str">
        <f t="shared" si="29"/>
        <v>Jan</v>
      </c>
    </row>
    <row r="275" spans="1:23">
      <c r="A275">
        <v>10267</v>
      </c>
      <c r="B275" s="1">
        <v>45376</v>
      </c>
      <c r="C275">
        <v>45376</v>
      </c>
      <c r="D275" t="s">
        <v>23</v>
      </c>
      <c r="E275" t="str">
        <f>IF(TRIM(D275)="","Unknown",PROPER(TRIM(D275)))</f>
        <v>Kisumu</v>
      </c>
      <c r="F275" t="s">
        <v>81</v>
      </c>
      <c r="G275" t="str">
        <f>PROPER(TRIM(F275))</f>
        <v>Aisha Hassan</v>
      </c>
      <c r="H275" t="s">
        <v>10</v>
      </c>
      <c r="I275" t="s">
        <v>11</v>
      </c>
      <c r="J275" t="str">
        <f>PROPER(TRIM(I275))</f>
        <v>Kitchen Knife Set</v>
      </c>
      <c r="K275">
        <v>15</v>
      </c>
      <c r="L275">
        <f>IF(K275="",0,K275)</f>
        <v>15</v>
      </c>
      <c r="M275">
        <v>1400</v>
      </c>
      <c r="N275">
        <f>IF(M275="",0,M275)</f>
        <v>1400</v>
      </c>
      <c r="O275" t="str">
        <f>IF(L275&lt;0,"NEGATIVE QUANTITY","")</f>
        <v/>
      </c>
      <c r="P275">
        <f t="shared" si="24"/>
        <v>15</v>
      </c>
      <c r="Q275">
        <f>VLOOKUP(H275,'Product Cost Lookup'!A:D,4,FALSE)</f>
        <v>800</v>
      </c>
      <c r="R275" t="str">
        <f>VLOOKUP(H275,'Product Cost Lookup'!A:D,3,FALSE)</f>
        <v>Kitchenware</v>
      </c>
      <c r="S275">
        <f t="shared" si="25"/>
        <v>21000</v>
      </c>
      <c r="T275">
        <f t="shared" si="26"/>
        <v>12000</v>
      </c>
      <c r="U275">
        <f t="shared" si="27"/>
        <v>9000</v>
      </c>
      <c r="V275" s="3">
        <f t="shared" si="28"/>
        <v>0.42857142857142855</v>
      </c>
      <c r="W275" t="str">
        <f t="shared" si="29"/>
        <v>Mar</v>
      </c>
    </row>
    <row r="276" spans="1:23">
      <c r="A276">
        <v>10196</v>
      </c>
      <c r="B276" s="1">
        <v>45364</v>
      </c>
      <c r="C276">
        <v>45364</v>
      </c>
      <c r="E276" t="str">
        <f>IF(TRIM(D276)="","Unknown",PROPER(TRIM(D276)))</f>
        <v>Unknown</v>
      </c>
      <c r="F276" t="s">
        <v>24</v>
      </c>
      <c r="G276" t="str">
        <f>PROPER(TRIM(F276))</f>
        <v>Mercy Njeri</v>
      </c>
      <c r="H276" t="s">
        <v>53</v>
      </c>
      <c r="I276" t="s">
        <v>54</v>
      </c>
      <c r="J276" t="str">
        <f>PROPER(TRIM(I276))</f>
        <v>Rechargeable Torch Rt-10</v>
      </c>
      <c r="K276">
        <v>5</v>
      </c>
      <c r="L276">
        <f>IF(K276="",0,K276)</f>
        <v>5</v>
      </c>
      <c r="M276">
        <v>900</v>
      </c>
      <c r="N276">
        <f>IF(M276="",0,M276)</f>
        <v>900</v>
      </c>
      <c r="O276" t="str">
        <f>IF(L276&lt;0,"NEGATIVE QUANTITY","")</f>
        <v/>
      </c>
      <c r="P276">
        <f t="shared" si="24"/>
        <v>5</v>
      </c>
      <c r="Q276">
        <f>VLOOKUP(H276,'Product Cost Lookup'!A:D,4,FALSE)</f>
        <v>600</v>
      </c>
      <c r="R276" t="str">
        <f>VLOOKUP(H276,'Product Cost Lookup'!A:D,3,FALSE)</f>
        <v>Electronics</v>
      </c>
      <c r="S276">
        <f t="shared" si="25"/>
        <v>4500</v>
      </c>
      <c r="T276">
        <f t="shared" si="26"/>
        <v>3000</v>
      </c>
      <c r="U276">
        <f t="shared" si="27"/>
        <v>1500</v>
      </c>
      <c r="V276" s="3">
        <f t="shared" si="28"/>
        <v>0.33333333333333331</v>
      </c>
      <c r="W276" t="str">
        <f t="shared" si="29"/>
        <v>Mar</v>
      </c>
    </row>
    <row r="277" spans="1:23">
      <c r="A277">
        <v>10045</v>
      </c>
      <c r="B277" s="1">
        <v>45353</v>
      </c>
      <c r="C277">
        <v>45353</v>
      </c>
      <c r="D277" t="s">
        <v>95</v>
      </c>
      <c r="E277" t="str">
        <f>IF(TRIM(D277)="","Unknown",PROPER(TRIM(D277)))</f>
        <v>Kisumu</v>
      </c>
      <c r="F277" t="s">
        <v>46</v>
      </c>
      <c r="G277" t="str">
        <f>PROPER(TRIM(F277))</f>
        <v>Samuel Kiptoo</v>
      </c>
      <c r="H277" t="s">
        <v>21</v>
      </c>
      <c r="I277" t="s">
        <v>22</v>
      </c>
      <c r="J277" t="str">
        <f>PROPER(TRIM(I277))</f>
        <v>Water Dispenser Stand</v>
      </c>
      <c r="K277">
        <v>15</v>
      </c>
      <c r="L277">
        <f>IF(K277="",0,K277)</f>
        <v>15</v>
      </c>
      <c r="M277">
        <v>2300</v>
      </c>
      <c r="N277">
        <f>IF(M277="",0,M277)</f>
        <v>2300</v>
      </c>
      <c r="O277" t="str">
        <f>IF(L277&lt;0,"NEGATIVE QUANTITY","")</f>
        <v/>
      </c>
      <c r="P277">
        <f t="shared" si="24"/>
        <v>15</v>
      </c>
      <c r="Q277">
        <f>VLOOKUP(H277,'Product Cost Lookup'!A:D,4,FALSE)</f>
        <v>1500</v>
      </c>
      <c r="R277" t="str">
        <f>VLOOKUP(H277,'Product Cost Lookup'!A:D,3,FALSE)</f>
        <v>Household</v>
      </c>
      <c r="S277">
        <f t="shared" si="25"/>
        <v>34500</v>
      </c>
      <c r="T277">
        <f t="shared" si="26"/>
        <v>22500</v>
      </c>
      <c r="U277">
        <f t="shared" si="27"/>
        <v>12000</v>
      </c>
      <c r="V277" s="3">
        <f t="shared" si="28"/>
        <v>0.34782608695652173</v>
      </c>
      <c r="W277" t="str">
        <f t="shared" si="29"/>
        <v>Mar</v>
      </c>
    </row>
    <row r="278" spans="1:23">
      <c r="A278">
        <v>10071</v>
      </c>
      <c r="B278" t="s">
        <v>171</v>
      </c>
      <c r="C278">
        <v>45378</v>
      </c>
      <c r="D278" t="s">
        <v>45</v>
      </c>
      <c r="E278" t="str">
        <f>IF(TRIM(D278)="","Unknown",PROPER(TRIM(D278)))</f>
        <v>Thika</v>
      </c>
      <c r="F278" t="s">
        <v>48</v>
      </c>
      <c r="G278" t="str">
        <f>PROPER(TRIM(F278))</f>
        <v>Brian Mutua</v>
      </c>
      <c r="H278" t="s">
        <v>55</v>
      </c>
      <c r="I278" t="s">
        <v>56</v>
      </c>
      <c r="J278" t="str">
        <f>PROPER(TRIM(I278))</f>
        <v>Led Bulb 9W (Pack Of 4)</v>
      </c>
      <c r="K278">
        <v>12</v>
      </c>
      <c r="L278">
        <f>IF(K278="",0,K278)</f>
        <v>12</v>
      </c>
      <c r="M278">
        <v>780</v>
      </c>
      <c r="N278">
        <f>IF(M278="",0,M278)</f>
        <v>780</v>
      </c>
      <c r="O278" t="str">
        <f>IF(L278&lt;0,"NEGATIVE QUANTITY","")</f>
        <v/>
      </c>
      <c r="P278">
        <f t="shared" si="24"/>
        <v>12</v>
      </c>
      <c r="Q278">
        <f>VLOOKUP(H278,'Product Cost Lookup'!A:D,4,FALSE)</f>
        <v>480</v>
      </c>
      <c r="R278" t="str">
        <f>VLOOKUP(H278,'Product Cost Lookup'!A:D,3,FALSE)</f>
        <v>Electronics</v>
      </c>
      <c r="S278">
        <f t="shared" si="25"/>
        <v>9360</v>
      </c>
      <c r="T278">
        <f t="shared" si="26"/>
        <v>5760</v>
      </c>
      <c r="U278">
        <f t="shared" si="27"/>
        <v>3600</v>
      </c>
      <c r="V278" s="3">
        <f t="shared" si="28"/>
        <v>0.38461538461538464</v>
      </c>
      <c r="W278" t="str">
        <f t="shared" si="29"/>
        <v>Mar</v>
      </c>
    </row>
    <row r="279" spans="1:23">
      <c r="A279">
        <v>10310</v>
      </c>
      <c r="B279" s="1">
        <v>45302</v>
      </c>
      <c r="C279">
        <v>45302</v>
      </c>
      <c r="D279" t="s">
        <v>152</v>
      </c>
      <c r="E279" t="str">
        <f>IF(TRIM(D279)="","Unknown",PROPER(TRIM(D279)))</f>
        <v>Nakuru</v>
      </c>
      <c r="F279" t="s">
        <v>46</v>
      </c>
      <c r="G279" t="str">
        <f>PROPER(TRIM(F279))</f>
        <v>Samuel Kiptoo</v>
      </c>
      <c r="H279" t="s">
        <v>38</v>
      </c>
      <c r="I279" t="s">
        <v>39</v>
      </c>
      <c r="J279" t="str">
        <f>PROPER(TRIM(I279))</f>
        <v>Usb Wall Charger Uc-5</v>
      </c>
      <c r="K279">
        <v>20</v>
      </c>
      <c r="L279">
        <f>IF(K279="",0,K279)</f>
        <v>20</v>
      </c>
      <c r="M279">
        <v>500</v>
      </c>
      <c r="N279">
        <f>IF(M279="",0,M279)</f>
        <v>500</v>
      </c>
      <c r="O279" t="str">
        <f>IF(L279&lt;0,"NEGATIVE QUANTITY","")</f>
        <v/>
      </c>
      <c r="P279">
        <f t="shared" si="24"/>
        <v>20</v>
      </c>
      <c r="Q279">
        <f>VLOOKUP(H279,'Product Cost Lookup'!A:D,4,FALSE)</f>
        <v>300</v>
      </c>
      <c r="R279" t="str">
        <f>VLOOKUP(H279,'Product Cost Lookup'!A:D,3,FALSE)</f>
        <v>Electronics</v>
      </c>
      <c r="S279">
        <f t="shared" si="25"/>
        <v>10000</v>
      </c>
      <c r="T279">
        <f t="shared" si="26"/>
        <v>6000</v>
      </c>
      <c r="U279">
        <f t="shared" si="27"/>
        <v>4000</v>
      </c>
      <c r="V279" s="3">
        <f t="shared" si="28"/>
        <v>0.4</v>
      </c>
      <c r="W279" t="str">
        <f t="shared" si="29"/>
        <v>Jan</v>
      </c>
    </row>
    <row r="280" spans="1:23">
      <c r="A280">
        <v>10175</v>
      </c>
      <c r="B280" s="1">
        <v>45367</v>
      </c>
      <c r="C280">
        <v>45367</v>
      </c>
      <c r="D280" t="s">
        <v>74</v>
      </c>
      <c r="E280" t="str">
        <f>IF(TRIM(D280)="","Unknown",PROPER(TRIM(D280)))</f>
        <v>Nairobi</v>
      </c>
      <c r="F280" t="s">
        <v>104</v>
      </c>
      <c r="G280" t="str">
        <f>PROPER(TRIM(F280))</f>
        <v>Peter Otieno</v>
      </c>
      <c r="H280" t="s">
        <v>25</v>
      </c>
      <c r="I280" t="s">
        <v>97</v>
      </c>
      <c r="J280" t="str">
        <f>PROPER(TRIM(I280))</f>
        <v>Plastic Storage Basket (L)</v>
      </c>
      <c r="K280">
        <v>2</v>
      </c>
      <c r="L280">
        <f>IF(K280="",0,K280)</f>
        <v>2</v>
      </c>
      <c r="M280">
        <v>420</v>
      </c>
      <c r="N280">
        <f>IF(M280="",0,M280)</f>
        <v>420</v>
      </c>
      <c r="O280" t="str">
        <f>IF(L280&lt;0,"NEGATIVE QUANTITY","")</f>
        <v/>
      </c>
      <c r="P280">
        <f t="shared" si="24"/>
        <v>2</v>
      </c>
      <c r="Q280">
        <f>VLOOKUP(H280,'Product Cost Lookup'!A:D,4,FALSE)</f>
        <v>250</v>
      </c>
      <c r="R280" t="str">
        <f>VLOOKUP(H280,'Product Cost Lookup'!A:D,3,FALSE)</f>
        <v>Household</v>
      </c>
      <c r="S280">
        <f t="shared" si="25"/>
        <v>840</v>
      </c>
      <c r="T280">
        <f t="shared" si="26"/>
        <v>500</v>
      </c>
      <c r="U280">
        <f t="shared" si="27"/>
        <v>340</v>
      </c>
      <c r="V280" s="3">
        <f t="shared" si="28"/>
        <v>0.40476190476190477</v>
      </c>
      <c r="W280" t="str">
        <f t="shared" si="29"/>
        <v>Mar</v>
      </c>
    </row>
    <row r="281" spans="1:23">
      <c r="A281">
        <v>10078</v>
      </c>
      <c r="B281" s="1">
        <v>45305</v>
      </c>
      <c r="C281">
        <v>45305</v>
      </c>
      <c r="D281" t="s">
        <v>41</v>
      </c>
      <c r="E281" t="str">
        <f>IF(TRIM(D281)="","Unknown",PROPER(TRIM(D281)))</f>
        <v>Nakuru</v>
      </c>
      <c r="F281" t="s">
        <v>14</v>
      </c>
      <c r="G281" t="str">
        <f>PROPER(TRIM(F281))</f>
        <v>Faith Wanjiru</v>
      </c>
      <c r="H281" t="s">
        <v>90</v>
      </c>
      <c r="I281" t="s">
        <v>144</v>
      </c>
      <c r="J281" t="str">
        <f>PROPER(TRIM(I281))</f>
        <v>Wheelbarrow - Heavy Duty</v>
      </c>
      <c r="K281">
        <v>1</v>
      </c>
      <c r="L281">
        <f>IF(K281="",0,K281)</f>
        <v>1</v>
      </c>
      <c r="M281">
        <v>5300</v>
      </c>
      <c r="N281">
        <f>IF(M281="",0,M281)</f>
        <v>5300</v>
      </c>
      <c r="O281" t="str">
        <f>IF(L281&lt;0,"NEGATIVE QUANTITY","")</f>
        <v/>
      </c>
      <c r="P281">
        <f t="shared" si="24"/>
        <v>1</v>
      </c>
      <c r="Q281">
        <f>VLOOKUP(H281,'Product Cost Lookup'!A:D,4,FALSE)</f>
        <v>3500</v>
      </c>
      <c r="R281" t="str">
        <f>VLOOKUP(H281,'Product Cost Lookup'!A:D,3,FALSE)</f>
        <v>Hardware</v>
      </c>
      <c r="S281">
        <f t="shared" si="25"/>
        <v>5300</v>
      </c>
      <c r="T281">
        <f t="shared" si="26"/>
        <v>3500</v>
      </c>
      <c r="U281">
        <f t="shared" si="27"/>
        <v>1800</v>
      </c>
      <c r="V281" s="3">
        <f t="shared" si="28"/>
        <v>0.33962264150943394</v>
      </c>
      <c r="W281" t="str">
        <f t="shared" si="29"/>
        <v>Jan</v>
      </c>
    </row>
    <row r="282" spans="1:23">
      <c r="A282">
        <v>10116</v>
      </c>
      <c r="B282" s="1">
        <v>45351</v>
      </c>
      <c r="C282">
        <v>45351</v>
      </c>
      <c r="D282" t="s">
        <v>40</v>
      </c>
      <c r="E282" t="str">
        <f>IF(TRIM(D282)="","Unknown",PROPER(TRIM(D282)))</f>
        <v>Thika</v>
      </c>
      <c r="F282" t="s">
        <v>64</v>
      </c>
      <c r="G282" t="str">
        <f>PROPER(TRIM(F282))</f>
        <v>Mercy Njeri</v>
      </c>
      <c r="H282" t="s">
        <v>53</v>
      </c>
      <c r="I282" t="s">
        <v>72</v>
      </c>
      <c r="J282" t="str">
        <f>PROPER(TRIM(I282))</f>
        <v>Rechargeable Torch Rt-10</v>
      </c>
      <c r="K282">
        <v>12</v>
      </c>
      <c r="L282">
        <f>IF(K282="",0,K282)</f>
        <v>12</v>
      </c>
      <c r="M282">
        <v>1050</v>
      </c>
      <c r="N282">
        <f>IF(M282="",0,M282)</f>
        <v>1050</v>
      </c>
      <c r="O282" t="str">
        <f>IF(L282&lt;0,"NEGATIVE QUANTITY","")</f>
        <v/>
      </c>
      <c r="P282">
        <f t="shared" si="24"/>
        <v>12</v>
      </c>
      <c r="Q282">
        <f>VLOOKUP(H282,'Product Cost Lookup'!A:D,4,FALSE)</f>
        <v>600</v>
      </c>
      <c r="R282" t="str">
        <f>VLOOKUP(H282,'Product Cost Lookup'!A:D,3,FALSE)</f>
        <v>Electronics</v>
      </c>
      <c r="S282">
        <f t="shared" si="25"/>
        <v>12600</v>
      </c>
      <c r="T282">
        <f t="shared" si="26"/>
        <v>7200</v>
      </c>
      <c r="U282">
        <f t="shared" si="27"/>
        <v>5400</v>
      </c>
      <c r="V282" s="3">
        <f t="shared" si="28"/>
        <v>0.42857142857142855</v>
      </c>
      <c r="W282" t="str">
        <f t="shared" si="29"/>
        <v>Feb</v>
      </c>
    </row>
    <row r="283" spans="1:23">
      <c r="A283">
        <v>10144</v>
      </c>
      <c r="B283" s="1">
        <v>45414</v>
      </c>
      <c r="C283">
        <v>45414</v>
      </c>
      <c r="D283" t="s">
        <v>15</v>
      </c>
      <c r="E283" t="str">
        <f>IF(TRIM(D283)="","Unknown",PROPER(TRIM(D283)))</f>
        <v>Mombasa</v>
      </c>
      <c r="F283" t="s">
        <v>139</v>
      </c>
      <c r="G283" t="str">
        <f>PROPER(TRIM(F283))</f>
        <v>Grace Achieng</v>
      </c>
      <c r="H283" t="s">
        <v>17</v>
      </c>
      <c r="I283" t="s">
        <v>18</v>
      </c>
      <c r="J283" t="str">
        <f>PROPER(TRIM(I283))</f>
        <v>20L Jerrycan - Blue</v>
      </c>
      <c r="K283">
        <v>20</v>
      </c>
      <c r="L283">
        <f>IF(K283="",0,K283)</f>
        <v>20</v>
      </c>
      <c r="M283">
        <v>600</v>
      </c>
      <c r="N283">
        <f>IF(M283="",0,M283)</f>
        <v>600</v>
      </c>
      <c r="O283" t="str">
        <f>IF(L283&lt;0,"NEGATIVE QUANTITY","")</f>
        <v/>
      </c>
      <c r="P283">
        <f t="shared" si="24"/>
        <v>20</v>
      </c>
      <c r="Q283">
        <f>VLOOKUP(H283,'Product Cost Lookup'!A:D,4,FALSE)</f>
        <v>350</v>
      </c>
      <c r="R283" t="str">
        <f>VLOOKUP(H283,'Product Cost Lookup'!A:D,3,FALSE)</f>
        <v>Household</v>
      </c>
      <c r="S283">
        <f t="shared" si="25"/>
        <v>12000</v>
      </c>
      <c r="T283">
        <f t="shared" si="26"/>
        <v>7000</v>
      </c>
      <c r="U283">
        <f t="shared" si="27"/>
        <v>5000</v>
      </c>
      <c r="V283" s="3">
        <f t="shared" si="28"/>
        <v>0.41666666666666669</v>
      </c>
      <c r="W283" t="str">
        <f t="shared" si="29"/>
        <v>May</v>
      </c>
    </row>
    <row r="284" spans="1:23">
      <c r="A284">
        <v>10285</v>
      </c>
      <c r="B284" s="1">
        <v>45337</v>
      </c>
      <c r="C284">
        <v>45337</v>
      </c>
      <c r="D284" t="s">
        <v>162</v>
      </c>
      <c r="E284" t="str">
        <f>IF(TRIM(D284)="","Unknown",PROPER(TRIM(D284)))</f>
        <v>Kisumu</v>
      </c>
      <c r="F284" t="s">
        <v>84</v>
      </c>
      <c r="G284" t="str">
        <f>PROPER(TRIM(F284))</f>
        <v>Aisha Hassan</v>
      </c>
      <c r="H284" t="s">
        <v>10</v>
      </c>
      <c r="I284" t="s">
        <v>11</v>
      </c>
      <c r="J284" t="str">
        <f>PROPER(TRIM(I284))</f>
        <v>Kitchen Knife Set</v>
      </c>
      <c r="L284">
        <f>IF(K284="",0,K284)</f>
        <v>0</v>
      </c>
      <c r="M284">
        <v>1400</v>
      </c>
      <c r="N284">
        <f>IF(M284="",0,M284)</f>
        <v>1400</v>
      </c>
      <c r="O284" t="str">
        <f>IF(L284&lt;0,"NEGATIVE QUANTITY","")</f>
        <v/>
      </c>
      <c r="P284">
        <f t="shared" si="24"/>
        <v>0</v>
      </c>
      <c r="Q284">
        <f>VLOOKUP(H284,'Product Cost Lookup'!A:D,4,FALSE)</f>
        <v>800</v>
      </c>
      <c r="R284" t="str">
        <f>VLOOKUP(H284,'Product Cost Lookup'!A:D,3,FALSE)</f>
        <v>Kitchenware</v>
      </c>
      <c r="S284">
        <f t="shared" si="25"/>
        <v>0</v>
      </c>
      <c r="T284">
        <f t="shared" si="26"/>
        <v>0</v>
      </c>
      <c r="U284">
        <f t="shared" si="27"/>
        <v>0</v>
      </c>
      <c r="V284" s="3">
        <f t="shared" si="28"/>
        <v>0</v>
      </c>
      <c r="W284" t="str">
        <f t="shared" si="29"/>
        <v>Feb</v>
      </c>
    </row>
    <row r="285" spans="1:23">
      <c r="A285">
        <v>10016</v>
      </c>
      <c r="B285" s="1">
        <v>45361</v>
      </c>
      <c r="C285">
        <v>45361</v>
      </c>
      <c r="D285" t="s">
        <v>74</v>
      </c>
      <c r="E285" t="str">
        <f>IF(TRIM(D285)="","Unknown",PROPER(TRIM(D285)))</f>
        <v>Nairobi</v>
      </c>
      <c r="F285" t="s">
        <v>134</v>
      </c>
      <c r="G285" t="str">
        <f>PROPER(TRIM(F285))</f>
        <v>Grace Achieng</v>
      </c>
      <c r="H285" t="s">
        <v>21</v>
      </c>
      <c r="I285" t="s">
        <v>22</v>
      </c>
      <c r="J285" t="str">
        <f>PROPER(TRIM(I285))</f>
        <v>Water Dispenser Stand</v>
      </c>
      <c r="K285">
        <v>4</v>
      </c>
      <c r="L285">
        <f>IF(K285="",0,K285)</f>
        <v>4</v>
      </c>
      <c r="M285">
        <v>2300</v>
      </c>
      <c r="N285">
        <f>IF(M285="",0,M285)</f>
        <v>2300</v>
      </c>
      <c r="O285" t="str">
        <f>IF(L285&lt;0,"NEGATIVE QUANTITY","")</f>
        <v/>
      </c>
      <c r="P285">
        <f t="shared" si="24"/>
        <v>4</v>
      </c>
      <c r="Q285">
        <f>VLOOKUP(H285,'Product Cost Lookup'!A:D,4,FALSE)</f>
        <v>1500</v>
      </c>
      <c r="R285" t="str">
        <f>VLOOKUP(H285,'Product Cost Lookup'!A:D,3,FALSE)</f>
        <v>Household</v>
      </c>
      <c r="S285">
        <f t="shared" si="25"/>
        <v>9200</v>
      </c>
      <c r="T285">
        <f t="shared" si="26"/>
        <v>6000</v>
      </c>
      <c r="U285">
        <f t="shared" si="27"/>
        <v>3200</v>
      </c>
      <c r="V285" s="3">
        <f t="shared" si="28"/>
        <v>0.34782608695652173</v>
      </c>
      <c r="W285" t="str">
        <f t="shared" si="29"/>
        <v>Mar</v>
      </c>
    </row>
    <row r="286" spans="1:23">
      <c r="A286">
        <v>10338</v>
      </c>
      <c r="B286" s="1">
        <v>45629</v>
      </c>
      <c r="C286">
        <v>45629</v>
      </c>
      <c r="D286" t="s">
        <v>15</v>
      </c>
      <c r="E286" t="str">
        <f>IF(TRIM(D286)="","Unknown",PROPER(TRIM(D286)))</f>
        <v>Mombasa</v>
      </c>
      <c r="F286" t="s">
        <v>81</v>
      </c>
      <c r="G286" t="str">
        <f>PROPER(TRIM(F286))</f>
        <v>Aisha Hassan</v>
      </c>
      <c r="H286" t="s">
        <v>65</v>
      </c>
      <c r="I286" t="s">
        <v>73</v>
      </c>
      <c r="J286" t="str">
        <f>PROPER(TRIM(I286))</f>
        <v>Mosquito Net - Family Size</v>
      </c>
      <c r="K286">
        <v>20</v>
      </c>
      <c r="L286">
        <f>IF(K286="",0,K286)</f>
        <v>20</v>
      </c>
      <c r="M286">
        <v>750</v>
      </c>
      <c r="N286">
        <f>IF(M286="",0,M286)</f>
        <v>750</v>
      </c>
      <c r="O286" t="str">
        <f>IF(L286&lt;0,"NEGATIVE QUANTITY","")</f>
        <v/>
      </c>
      <c r="P286">
        <f t="shared" si="24"/>
        <v>20</v>
      </c>
      <c r="Q286">
        <f>VLOOKUP(H286,'Product Cost Lookup'!A:D,4,FALSE)</f>
        <v>400</v>
      </c>
      <c r="R286" t="str">
        <f>VLOOKUP(H286,'Product Cost Lookup'!A:D,3,FALSE)</f>
        <v>Household</v>
      </c>
      <c r="S286">
        <f t="shared" si="25"/>
        <v>15000</v>
      </c>
      <c r="T286">
        <f t="shared" si="26"/>
        <v>8000</v>
      </c>
      <c r="U286">
        <f t="shared" si="27"/>
        <v>7000</v>
      </c>
      <c r="V286" s="3">
        <f t="shared" si="28"/>
        <v>0.46666666666666667</v>
      </c>
      <c r="W286" t="str">
        <f t="shared" si="29"/>
        <v>Dec</v>
      </c>
    </row>
    <row r="287" spans="1:23">
      <c r="A287">
        <v>10132</v>
      </c>
      <c r="B287" s="1">
        <v>45305</v>
      </c>
      <c r="C287">
        <v>45305</v>
      </c>
      <c r="D287" t="s">
        <v>59</v>
      </c>
      <c r="E287" t="str">
        <f>IF(TRIM(D287)="","Unknown",PROPER(TRIM(D287)))</f>
        <v>Eldoret</v>
      </c>
      <c r="F287" t="s">
        <v>14</v>
      </c>
      <c r="G287" t="str">
        <f>PROPER(TRIM(F287))</f>
        <v>Faith Wanjiru</v>
      </c>
      <c r="H287" t="s">
        <v>77</v>
      </c>
      <c r="I287" t="s">
        <v>78</v>
      </c>
      <c r="J287" t="str">
        <f>PROPER(TRIM(I287))</f>
        <v>Cooking Gas Burner Cb-2</v>
      </c>
      <c r="K287">
        <v>1</v>
      </c>
      <c r="L287">
        <f>IF(K287="",0,K287)</f>
        <v>1</v>
      </c>
      <c r="M287">
        <v>1950</v>
      </c>
      <c r="N287">
        <f>IF(M287="",0,M287)</f>
        <v>1950</v>
      </c>
      <c r="O287" t="str">
        <f>IF(L287&lt;0,"NEGATIVE QUANTITY","")</f>
        <v/>
      </c>
      <c r="P287">
        <f t="shared" si="24"/>
        <v>1</v>
      </c>
      <c r="Q287">
        <f>VLOOKUP(H287,'Product Cost Lookup'!A:D,4,FALSE)</f>
        <v>1200</v>
      </c>
      <c r="R287" t="str">
        <f>VLOOKUP(H287,'Product Cost Lookup'!A:D,3,FALSE)</f>
        <v>Kitchenware</v>
      </c>
      <c r="S287">
        <f t="shared" si="25"/>
        <v>1950</v>
      </c>
      <c r="T287">
        <f t="shared" si="26"/>
        <v>1200</v>
      </c>
      <c r="U287">
        <f t="shared" si="27"/>
        <v>750</v>
      </c>
      <c r="V287" s="3">
        <f t="shared" si="28"/>
        <v>0.38461538461538464</v>
      </c>
      <c r="W287" t="str">
        <f t="shared" si="29"/>
        <v>Jan</v>
      </c>
    </row>
    <row r="288" spans="1:23">
      <c r="A288">
        <v>10032</v>
      </c>
      <c r="B288" s="1">
        <v>45381</v>
      </c>
      <c r="C288">
        <v>45381</v>
      </c>
      <c r="D288" t="s">
        <v>41</v>
      </c>
      <c r="E288" t="str">
        <f>IF(TRIM(D288)="","Unknown",PROPER(TRIM(D288)))</f>
        <v>Nakuru</v>
      </c>
      <c r="F288" t="s">
        <v>81</v>
      </c>
      <c r="G288" t="str">
        <f>PROPER(TRIM(F288))</f>
        <v>Aisha Hassan</v>
      </c>
      <c r="H288" t="s">
        <v>65</v>
      </c>
      <c r="I288" t="s">
        <v>73</v>
      </c>
      <c r="J288" t="str">
        <f>PROPER(TRIM(I288))</f>
        <v>Mosquito Net - Family Size</v>
      </c>
      <c r="K288">
        <v>4</v>
      </c>
      <c r="L288">
        <f>IF(K288="",0,K288)</f>
        <v>4</v>
      </c>
      <c r="N288">
        <f>IF(M288="",0,M288)</f>
        <v>0</v>
      </c>
      <c r="O288" t="str">
        <f>IF(L288&lt;0,"NEGATIVE QUANTITY","")</f>
        <v/>
      </c>
      <c r="P288">
        <f t="shared" si="24"/>
        <v>4</v>
      </c>
      <c r="Q288">
        <f>VLOOKUP(H288,'Product Cost Lookup'!A:D,4,FALSE)</f>
        <v>400</v>
      </c>
      <c r="R288" t="str">
        <f>VLOOKUP(H288,'Product Cost Lookup'!A:D,3,FALSE)</f>
        <v>Household</v>
      </c>
      <c r="S288">
        <f t="shared" si="25"/>
        <v>0</v>
      </c>
      <c r="T288">
        <f t="shared" si="26"/>
        <v>1600</v>
      </c>
      <c r="U288">
        <f t="shared" si="27"/>
        <v>-1600</v>
      </c>
      <c r="V288" s="3">
        <f t="shared" si="28"/>
        <v>0</v>
      </c>
      <c r="W288" t="str">
        <f t="shared" si="29"/>
        <v>Mar</v>
      </c>
    </row>
    <row r="289" spans="1:23">
      <c r="A289">
        <v>10142</v>
      </c>
      <c r="B289" t="s">
        <v>164</v>
      </c>
      <c r="C289">
        <v>45374</v>
      </c>
      <c r="D289" t="s">
        <v>40</v>
      </c>
      <c r="E289" t="str">
        <f>IF(TRIM(D289)="","Unknown",PROPER(TRIM(D289)))</f>
        <v>Thika</v>
      </c>
      <c r="F289" t="s">
        <v>48</v>
      </c>
      <c r="G289" t="str">
        <f>PROPER(TRIM(F289))</f>
        <v>Brian Mutua</v>
      </c>
      <c r="H289" t="s">
        <v>25</v>
      </c>
      <c r="I289" t="s">
        <v>97</v>
      </c>
      <c r="J289" t="str">
        <f>PROPER(TRIM(I289))</f>
        <v>Plastic Storage Basket (L)</v>
      </c>
      <c r="K289">
        <v>8</v>
      </c>
      <c r="L289">
        <f>IF(K289="",0,K289)</f>
        <v>8</v>
      </c>
      <c r="M289">
        <v>470</v>
      </c>
      <c r="N289">
        <f>IF(M289="",0,M289)</f>
        <v>470</v>
      </c>
      <c r="O289" t="str">
        <f>IF(L289&lt;0,"NEGATIVE QUANTITY","")</f>
        <v/>
      </c>
      <c r="P289">
        <f t="shared" si="24"/>
        <v>8</v>
      </c>
      <c r="Q289">
        <f>VLOOKUP(H289,'Product Cost Lookup'!A:D,4,FALSE)</f>
        <v>250</v>
      </c>
      <c r="R289" t="str">
        <f>VLOOKUP(H289,'Product Cost Lookup'!A:D,3,FALSE)</f>
        <v>Household</v>
      </c>
      <c r="S289">
        <f t="shared" si="25"/>
        <v>3760</v>
      </c>
      <c r="T289">
        <f t="shared" si="26"/>
        <v>2000</v>
      </c>
      <c r="U289">
        <f t="shared" si="27"/>
        <v>1760</v>
      </c>
      <c r="V289" s="3">
        <f t="shared" si="28"/>
        <v>0.46808510638297873</v>
      </c>
      <c r="W289" t="str">
        <f t="shared" si="29"/>
        <v>Mar</v>
      </c>
    </row>
    <row r="290" spans="1:23">
      <c r="A290">
        <v>10320</v>
      </c>
      <c r="B290" s="1">
        <v>45293</v>
      </c>
      <c r="C290">
        <v>45293</v>
      </c>
      <c r="D290" t="s">
        <v>74</v>
      </c>
      <c r="E290" t="str">
        <f>IF(TRIM(D290)="","Unknown",PROPER(TRIM(D290)))</f>
        <v>Nairobi</v>
      </c>
      <c r="F290" t="s">
        <v>14</v>
      </c>
      <c r="G290" t="str">
        <f>PROPER(TRIM(F290))</f>
        <v>Faith Wanjiru</v>
      </c>
      <c r="H290" t="s">
        <v>65</v>
      </c>
      <c r="I290" t="s">
        <v>73</v>
      </c>
      <c r="J290" t="str">
        <f>PROPER(TRIM(I290))</f>
        <v>Mosquito Net - Family Size</v>
      </c>
      <c r="K290">
        <v>10</v>
      </c>
      <c r="L290">
        <f>IF(K290="",0,K290)</f>
        <v>10</v>
      </c>
      <c r="M290">
        <v>650</v>
      </c>
      <c r="N290">
        <f>IF(M290="",0,M290)</f>
        <v>650</v>
      </c>
      <c r="O290" t="str">
        <f>IF(L290&lt;0,"NEGATIVE QUANTITY","")</f>
        <v/>
      </c>
      <c r="P290">
        <f t="shared" si="24"/>
        <v>10</v>
      </c>
      <c r="Q290">
        <f>VLOOKUP(H290,'Product Cost Lookup'!A:D,4,FALSE)</f>
        <v>400</v>
      </c>
      <c r="R290" t="str">
        <f>VLOOKUP(H290,'Product Cost Lookup'!A:D,3,FALSE)</f>
        <v>Household</v>
      </c>
      <c r="S290">
        <f t="shared" si="25"/>
        <v>6500</v>
      </c>
      <c r="T290">
        <f t="shared" si="26"/>
        <v>4000</v>
      </c>
      <c r="U290">
        <f t="shared" si="27"/>
        <v>2500</v>
      </c>
      <c r="V290" s="3">
        <f t="shared" si="28"/>
        <v>0.38461538461538464</v>
      </c>
      <c r="W290" t="str">
        <f t="shared" si="29"/>
        <v>Jan</v>
      </c>
    </row>
    <row r="291" spans="1:23">
      <c r="A291">
        <v>10121</v>
      </c>
      <c r="B291" s="1">
        <v>45341</v>
      </c>
      <c r="C291">
        <v>45341</v>
      </c>
      <c r="D291" t="s">
        <v>145</v>
      </c>
      <c r="E291" t="str">
        <f>IF(TRIM(D291)="","Unknown",PROPER(TRIM(D291)))</f>
        <v>Eldoret</v>
      </c>
      <c r="F291" t="s">
        <v>48</v>
      </c>
      <c r="G291" t="str">
        <f>PROPER(TRIM(F291))</f>
        <v>Brian Mutua</v>
      </c>
      <c r="H291" t="s">
        <v>77</v>
      </c>
      <c r="I291" t="s">
        <v>172</v>
      </c>
      <c r="J291" t="str">
        <f>PROPER(TRIM(I291))</f>
        <v>Cooking Gas Burner Cb-2</v>
      </c>
      <c r="K291">
        <v>3</v>
      </c>
      <c r="L291">
        <f>IF(K291="",0,K291)</f>
        <v>3</v>
      </c>
      <c r="M291">
        <v>1850</v>
      </c>
      <c r="N291">
        <f>IF(M291="",0,M291)</f>
        <v>1850</v>
      </c>
      <c r="O291" t="str">
        <f>IF(L291&lt;0,"NEGATIVE QUANTITY","")</f>
        <v/>
      </c>
      <c r="P291">
        <f t="shared" si="24"/>
        <v>3</v>
      </c>
      <c r="Q291">
        <f>VLOOKUP(H291,'Product Cost Lookup'!A:D,4,FALSE)</f>
        <v>1200</v>
      </c>
      <c r="R291" t="str">
        <f>VLOOKUP(H291,'Product Cost Lookup'!A:D,3,FALSE)</f>
        <v>Kitchenware</v>
      </c>
      <c r="S291">
        <f t="shared" si="25"/>
        <v>5550</v>
      </c>
      <c r="T291">
        <f t="shared" si="26"/>
        <v>3600</v>
      </c>
      <c r="U291">
        <f t="shared" si="27"/>
        <v>1950</v>
      </c>
      <c r="V291" s="3">
        <f t="shared" si="28"/>
        <v>0.35135135135135137</v>
      </c>
      <c r="W291" t="str">
        <f t="shared" si="29"/>
        <v>Feb</v>
      </c>
    </row>
    <row r="292" spans="1:23">
      <c r="A292">
        <v>10155</v>
      </c>
      <c r="B292" s="1">
        <v>45314</v>
      </c>
      <c r="C292">
        <v>45314</v>
      </c>
      <c r="D292" t="s">
        <v>58</v>
      </c>
      <c r="E292" t="str">
        <f>IF(TRIM(D292)="","Unknown",PROPER(TRIM(D292)))</f>
        <v>Nairobi</v>
      </c>
      <c r="F292" t="s">
        <v>16</v>
      </c>
      <c r="G292" t="str">
        <f>PROPER(TRIM(F292))</f>
        <v>Grace Achieng</v>
      </c>
      <c r="H292" t="s">
        <v>111</v>
      </c>
      <c r="I292" t="s">
        <v>112</v>
      </c>
      <c r="J292" t="str">
        <f>PROPER(TRIM(I292))</f>
        <v>Thermos Flask 1L</v>
      </c>
      <c r="K292">
        <v>3</v>
      </c>
      <c r="L292">
        <f>IF(K292="",0,K292)</f>
        <v>3</v>
      </c>
      <c r="M292">
        <v>900</v>
      </c>
      <c r="N292">
        <f>IF(M292="",0,M292)</f>
        <v>900</v>
      </c>
      <c r="O292" t="str">
        <f>IF(L292&lt;0,"NEGATIVE QUANTITY","")</f>
        <v/>
      </c>
      <c r="P292">
        <f t="shared" si="24"/>
        <v>3</v>
      </c>
      <c r="Q292">
        <f>VLOOKUP(H292,'Product Cost Lookup'!A:D,4,FALSE)</f>
        <v>550</v>
      </c>
      <c r="R292" t="str">
        <f>VLOOKUP(H292,'Product Cost Lookup'!A:D,3,FALSE)</f>
        <v>Kitchenware</v>
      </c>
      <c r="S292">
        <f t="shared" si="25"/>
        <v>2700</v>
      </c>
      <c r="T292">
        <f t="shared" si="26"/>
        <v>1650</v>
      </c>
      <c r="U292">
        <f t="shared" si="27"/>
        <v>1050</v>
      </c>
      <c r="V292" s="3">
        <f t="shared" si="28"/>
        <v>0.3888888888888889</v>
      </c>
      <c r="W292" t="str">
        <f t="shared" si="29"/>
        <v>Jan</v>
      </c>
    </row>
    <row r="293" spans="1:23">
      <c r="A293">
        <v>10182</v>
      </c>
      <c r="B293" s="2">
        <v>45354</v>
      </c>
      <c r="C293">
        <v>45354</v>
      </c>
      <c r="D293" t="s">
        <v>106</v>
      </c>
      <c r="E293" t="str">
        <f>IF(TRIM(D293)="","Unknown",PROPER(TRIM(D293)))</f>
        <v>Mombasa</v>
      </c>
      <c r="F293" t="s">
        <v>46</v>
      </c>
      <c r="G293" t="str">
        <f>PROPER(TRIM(F293))</f>
        <v>Samuel Kiptoo</v>
      </c>
      <c r="H293" t="s">
        <v>33</v>
      </c>
      <c r="I293" t="s">
        <v>60</v>
      </c>
      <c r="J293" t="str">
        <f>PROPER(TRIM(I293))</f>
        <v>Padlock Set (3Pc)</v>
      </c>
      <c r="K293">
        <v>8</v>
      </c>
      <c r="L293">
        <f>IF(K293="",0,K293)</f>
        <v>8</v>
      </c>
      <c r="M293">
        <v>750</v>
      </c>
      <c r="N293">
        <f>IF(M293="",0,M293)</f>
        <v>750</v>
      </c>
      <c r="O293" t="str">
        <f>IF(L293&lt;0,"NEGATIVE QUANTITY","")</f>
        <v/>
      </c>
      <c r="P293">
        <f t="shared" si="24"/>
        <v>8</v>
      </c>
      <c r="Q293">
        <f>VLOOKUP(H293,'Product Cost Lookup'!A:D,4,FALSE)</f>
        <v>450</v>
      </c>
      <c r="R293" t="str">
        <f>VLOOKUP(H293,'Product Cost Lookup'!A:D,3,FALSE)</f>
        <v>Hardware</v>
      </c>
      <c r="S293">
        <f t="shared" si="25"/>
        <v>6000</v>
      </c>
      <c r="T293">
        <f t="shared" si="26"/>
        <v>3600</v>
      </c>
      <c r="U293">
        <f t="shared" si="27"/>
        <v>2400</v>
      </c>
      <c r="V293" s="3">
        <f t="shared" si="28"/>
        <v>0.4</v>
      </c>
      <c r="W293" t="str">
        <f t="shared" si="29"/>
        <v>Mar</v>
      </c>
    </row>
    <row r="294" spans="1:23">
      <c r="A294">
        <v>10181</v>
      </c>
      <c r="B294" s="2">
        <v>45365</v>
      </c>
      <c r="C294">
        <v>45365</v>
      </c>
      <c r="D294" t="s">
        <v>35</v>
      </c>
      <c r="E294" t="str">
        <f>IF(TRIM(D294)="","Unknown",PROPER(TRIM(D294)))</f>
        <v>Kisumu</v>
      </c>
      <c r="F294" t="s">
        <v>16</v>
      </c>
      <c r="G294" t="str">
        <f>PROPER(TRIM(F294))</f>
        <v>Grace Achieng</v>
      </c>
      <c r="H294" t="s">
        <v>53</v>
      </c>
      <c r="I294" t="s">
        <v>72</v>
      </c>
      <c r="J294" t="str">
        <f>PROPER(TRIM(I294))</f>
        <v>Rechargeable Torch Rt-10</v>
      </c>
      <c r="K294">
        <v>8</v>
      </c>
      <c r="L294">
        <f>IF(K294="",0,K294)</f>
        <v>8</v>
      </c>
      <c r="M294">
        <v>900</v>
      </c>
      <c r="N294">
        <f>IF(M294="",0,M294)</f>
        <v>900</v>
      </c>
      <c r="O294" t="str">
        <f>IF(L294&lt;0,"NEGATIVE QUANTITY","")</f>
        <v/>
      </c>
      <c r="P294">
        <f t="shared" si="24"/>
        <v>8</v>
      </c>
      <c r="Q294">
        <f>VLOOKUP(H294,'Product Cost Lookup'!A:D,4,FALSE)</f>
        <v>600</v>
      </c>
      <c r="R294" t="str">
        <f>VLOOKUP(H294,'Product Cost Lookup'!A:D,3,FALSE)</f>
        <v>Electronics</v>
      </c>
      <c r="S294">
        <f t="shared" si="25"/>
        <v>7200</v>
      </c>
      <c r="T294">
        <f t="shared" si="26"/>
        <v>4800</v>
      </c>
      <c r="U294">
        <f t="shared" si="27"/>
        <v>2400</v>
      </c>
      <c r="V294" s="3">
        <f t="shared" si="28"/>
        <v>0.33333333333333331</v>
      </c>
      <c r="W294" t="str">
        <f t="shared" si="29"/>
        <v>Mar</v>
      </c>
    </row>
    <row r="295" spans="1:23">
      <c r="A295">
        <v>10178</v>
      </c>
      <c r="B295" s="2">
        <v>45350</v>
      </c>
      <c r="C295">
        <v>45350</v>
      </c>
      <c r="D295" t="s">
        <v>19</v>
      </c>
      <c r="E295" t="str">
        <f>IF(TRIM(D295)="","Unknown",PROPER(TRIM(D295)))</f>
        <v>Eldoret</v>
      </c>
      <c r="F295" t="s">
        <v>81</v>
      </c>
      <c r="G295" t="str">
        <f>PROPER(TRIM(F295))</f>
        <v>Aisha Hassan</v>
      </c>
      <c r="H295" t="s">
        <v>111</v>
      </c>
      <c r="I295" t="s">
        <v>112</v>
      </c>
      <c r="J295" t="str">
        <f>PROPER(TRIM(I295))</f>
        <v>Thermos Flask 1L</v>
      </c>
      <c r="K295">
        <v>12</v>
      </c>
      <c r="L295">
        <f>IF(K295="",0,K295)</f>
        <v>12</v>
      </c>
      <c r="M295">
        <v>850</v>
      </c>
      <c r="N295">
        <f>IF(M295="",0,M295)</f>
        <v>850</v>
      </c>
      <c r="O295" t="str">
        <f>IF(L295&lt;0,"NEGATIVE QUANTITY","")</f>
        <v/>
      </c>
      <c r="P295">
        <f t="shared" si="24"/>
        <v>12</v>
      </c>
      <c r="Q295">
        <f>VLOOKUP(H295,'Product Cost Lookup'!A:D,4,FALSE)</f>
        <v>550</v>
      </c>
      <c r="R295" t="str">
        <f>VLOOKUP(H295,'Product Cost Lookup'!A:D,3,FALSE)</f>
        <v>Kitchenware</v>
      </c>
      <c r="S295">
        <f t="shared" si="25"/>
        <v>10200</v>
      </c>
      <c r="T295">
        <f t="shared" si="26"/>
        <v>6600</v>
      </c>
      <c r="U295">
        <f t="shared" si="27"/>
        <v>3600</v>
      </c>
      <c r="V295" s="3">
        <f t="shared" si="28"/>
        <v>0.35294117647058826</v>
      </c>
      <c r="W295" t="str">
        <f t="shared" si="29"/>
        <v>Feb</v>
      </c>
    </row>
    <row r="296" spans="1:23">
      <c r="A296">
        <v>10334</v>
      </c>
      <c r="B296" s="1">
        <v>45330</v>
      </c>
      <c r="C296">
        <v>45330</v>
      </c>
      <c r="D296" t="s">
        <v>74</v>
      </c>
      <c r="E296" t="str">
        <f>IF(TRIM(D296)="","Unknown",PROPER(TRIM(D296)))</f>
        <v>Nairobi</v>
      </c>
      <c r="F296" t="s">
        <v>48</v>
      </c>
      <c r="G296" t="str">
        <f>PROPER(TRIM(F296))</f>
        <v>Brian Mutua</v>
      </c>
      <c r="H296" t="s">
        <v>90</v>
      </c>
      <c r="I296" t="s">
        <v>144</v>
      </c>
      <c r="J296" t="str">
        <f>PROPER(TRIM(I296))</f>
        <v>Wheelbarrow - Heavy Duty</v>
      </c>
      <c r="K296">
        <v>4</v>
      </c>
      <c r="L296">
        <f>IF(K296="",0,K296)</f>
        <v>4</v>
      </c>
      <c r="M296">
        <v>5150</v>
      </c>
      <c r="N296">
        <f>IF(M296="",0,M296)</f>
        <v>5150</v>
      </c>
      <c r="O296" t="str">
        <f>IF(L296&lt;0,"NEGATIVE QUANTITY","")</f>
        <v/>
      </c>
      <c r="P296">
        <f t="shared" si="24"/>
        <v>4</v>
      </c>
      <c r="Q296">
        <f>VLOOKUP(H296,'Product Cost Lookup'!A:D,4,FALSE)</f>
        <v>3500</v>
      </c>
      <c r="R296" t="str">
        <f>VLOOKUP(H296,'Product Cost Lookup'!A:D,3,FALSE)</f>
        <v>Hardware</v>
      </c>
      <c r="S296">
        <f t="shared" si="25"/>
        <v>20600</v>
      </c>
      <c r="T296">
        <f t="shared" si="26"/>
        <v>14000</v>
      </c>
      <c r="U296">
        <f t="shared" si="27"/>
        <v>6600</v>
      </c>
      <c r="V296" s="3">
        <f t="shared" si="28"/>
        <v>0.32038834951456313</v>
      </c>
      <c r="W296" t="str">
        <f t="shared" si="29"/>
        <v>Feb</v>
      </c>
    </row>
    <row r="297" spans="1:23">
      <c r="A297">
        <v>10081</v>
      </c>
      <c r="B297" t="s">
        <v>174</v>
      </c>
      <c r="C297">
        <v>45377</v>
      </c>
      <c r="D297" t="s">
        <v>35</v>
      </c>
      <c r="E297" t="str">
        <f>IF(TRIM(D297)="","Unknown",PROPER(TRIM(D297)))</f>
        <v>Kisumu</v>
      </c>
      <c r="F297" t="s">
        <v>24</v>
      </c>
      <c r="G297" t="str">
        <f>PROPER(TRIM(F297))</f>
        <v>Mercy Njeri</v>
      </c>
      <c r="H297" t="s">
        <v>53</v>
      </c>
      <c r="I297" t="s">
        <v>72</v>
      </c>
      <c r="J297" t="str">
        <f>PROPER(TRIM(I297))</f>
        <v>Rechargeable Torch Rt-10</v>
      </c>
      <c r="K297">
        <v>20</v>
      </c>
      <c r="L297">
        <f>IF(K297="",0,K297)</f>
        <v>20</v>
      </c>
      <c r="M297">
        <v>1000</v>
      </c>
      <c r="N297">
        <f>IF(M297="",0,M297)</f>
        <v>1000</v>
      </c>
      <c r="O297" t="str">
        <f>IF(L297&lt;0,"NEGATIVE QUANTITY","")</f>
        <v/>
      </c>
      <c r="P297">
        <f t="shared" si="24"/>
        <v>20</v>
      </c>
      <c r="Q297">
        <f>VLOOKUP(H297,'Product Cost Lookup'!A:D,4,FALSE)</f>
        <v>600</v>
      </c>
      <c r="R297" t="str">
        <f>VLOOKUP(H297,'Product Cost Lookup'!A:D,3,FALSE)</f>
        <v>Electronics</v>
      </c>
      <c r="S297">
        <f t="shared" si="25"/>
        <v>20000</v>
      </c>
      <c r="T297">
        <f t="shared" si="26"/>
        <v>12000</v>
      </c>
      <c r="U297">
        <f t="shared" si="27"/>
        <v>8000</v>
      </c>
      <c r="V297" s="3">
        <f t="shared" si="28"/>
        <v>0.4</v>
      </c>
      <c r="W297" t="str">
        <f t="shared" si="29"/>
        <v>Mar</v>
      </c>
    </row>
    <row r="298" spans="1:23">
      <c r="A298">
        <v>10202</v>
      </c>
      <c r="B298" s="1">
        <v>45301</v>
      </c>
      <c r="C298">
        <v>45301</v>
      </c>
      <c r="D298" t="s">
        <v>19</v>
      </c>
      <c r="E298" t="str">
        <f>IF(TRIM(D298)="","Unknown",PROPER(TRIM(D298)))</f>
        <v>Eldoret</v>
      </c>
      <c r="F298" t="s">
        <v>62</v>
      </c>
      <c r="G298" t="str">
        <f>PROPER(TRIM(F298))</f>
        <v>John Mwangi</v>
      </c>
      <c r="H298" t="s">
        <v>65</v>
      </c>
      <c r="I298" t="s">
        <v>124</v>
      </c>
      <c r="J298" t="str">
        <f>PROPER(TRIM(I298))</f>
        <v>Mosquito Net - Family Size</v>
      </c>
      <c r="K298">
        <v>20</v>
      </c>
      <c r="L298">
        <f>IF(K298="",0,K298)</f>
        <v>20</v>
      </c>
      <c r="M298">
        <v>650</v>
      </c>
      <c r="N298">
        <f>IF(M298="",0,M298)</f>
        <v>650</v>
      </c>
      <c r="O298" t="str">
        <f>IF(L298&lt;0,"NEGATIVE QUANTITY","")</f>
        <v/>
      </c>
      <c r="P298">
        <f t="shared" si="24"/>
        <v>20</v>
      </c>
      <c r="Q298">
        <f>VLOOKUP(H298,'Product Cost Lookup'!A:D,4,FALSE)</f>
        <v>400</v>
      </c>
      <c r="R298" t="str">
        <f>VLOOKUP(H298,'Product Cost Lookup'!A:D,3,FALSE)</f>
        <v>Household</v>
      </c>
      <c r="S298">
        <f t="shared" si="25"/>
        <v>13000</v>
      </c>
      <c r="T298">
        <f t="shared" si="26"/>
        <v>8000</v>
      </c>
      <c r="U298">
        <f t="shared" si="27"/>
        <v>5000</v>
      </c>
      <c r="V298" s="3">
        <f t="shared" si="28"/>
        <v>0.38461538461538464</v>
      </c>
      <c r="W298" t="str">
        <f t="shared" si="29"/>
        <v>Jan</v>
      </c>
    </row>
    <row r="299" spans="1:23">
      <c r="A299">
        <v>10251</v>
      </c>
      <c r="B299" s="1">
        <v>45353</v>
      </c>
      <c r="C299">
        <v>45353</v>
      </c>
      <c r="D299" t="s">
        <v>40</v>
      </c>
      <c r="E299" t="str">
        <f>IF(TRIM(D299)="","Unknown",PROPER(TRIM(D299)))</f>
        <v>Thika</v>
      </c>
      <c r="F299" t="s">
        <v>88</v>
      </c>
      <c r="G299" t="str">
        <f>PROPER(TRIM(F299))</f>
        <v>Mercy Njeri</v>
      </c>
      <c r="H299" t="s">
        <v>17</v>
      </c>
      <c r="I299" t="s">
        <v>18</v>
      </c>
      <c r="J299" t="str">
        <f>PROPER(TRIM(I299))</f>
        <v>20L Jerrycan - Blue</v>
      </c>
      <c r="K299">
        <v>20</v>
      </c>
      <c r="L299">
        <f>IF(K299="",0,K299)</f>
        <v>20</v>
      </c>
      <c r="M299">
        <v>650</v>
      </c>
      <c r="N299">
        <f>IF(M299="",0,M299)</f>
        <v>650</v>
      </c>
      <c r="O299" t="str">
        <f>IF(L299&lt;0,"NEGATIVE QUANTITY","")</f>
        <v/>
      </c>
      <c r="P299">
        <f t="shared" si="24"/>
        <v>20</v>
      </c>
      <c r="Q299">
        <f>VLOOKUP(H299,'Product Cost Lookup'!A:D,4,FALSE)</f>
        <v>350</v>
      </c>
      <c r="R299" t="str">
        <f>VLOOKUP(H299,'Product Cost Lookup'!A:D,3,FALSE)</f>
        <v>Household</v>
      </c>
      <c r="S299">
        <f t="shared" si="25"/>
        <v>13000</v>
      </c>
      <c r="T299">
        <f t="shared" si="26"/>
        <v>7000</v>
      </c>
      <c r="U299">
        <f t="shared" si="27"/>
        <v>6000</v>
      </c>
      <c r="V299" s="3">
        <f t="shared" si="28"/>
        <v>0.46153846153846156</v>
      </c>
      <c r="W299" t="str">
        <f t="shared" si="29"/>
        <v>Mar</v>
      </c>
    </row>
    <row r="300" spans="1:23">
      <c r="A300">
        <v>10171</v>
      </c>
      <c r="B300" s="1">
        <v>45352</v>
      </c>
      <c r="C300">
        <v>45352</v>
      </c>
      <c r="D300" t="s">
        <v>98</v>
      </c>
      <c r="E300" t="str">
        <f>IF(TRIM(D300)="","Unknown",PROPER(TRIM(D300)))</f>
        <v>Nairobi</v>
      </c>
      <c r="F300" t="s">
        <v>81</v>
      </c>
      <c r="G300" t="str">
        <f>PROPER(TRIM(F300))</f>
        <v>Aisha Hassan</v>
      </c>
      <c r="H300" t="s">
        <v>30</v>
      </c>
      <c r="I300" t="s">
        <v>31</v>
      </c>
      <c r="J300" t="str">
        <f>PROPER(TRIM(I300))</f>
        <v>Garden Hose 20M</v>
      </c>
      <c r="K300">
        <v>10</v>
      </c>
      <c r="L300">
        <f>IF(K300="",0,K300)</f>
        <v>10</v>
      </c>
      <c r="M300">
        <v>1700</v>
      </c>
      <c r="N300">
        <f>IF(M300="",0,M300)</f>
        <v>1700</v>
      </c>
      <c r="O300" t="str">
        <f>IF(L300&lt;0,"NEGATIVE QUANTITY","")</f>
        <v/>
      </c>
      <c r="P300">
        <f t="shared" si="24"/>
        <v>10</v>
      </c>
      <c r="Q300">
        <f>VLOOKUP(H300,'Product Cost Lookup'!A:D,4,FALSE)</f>
        <v>1100</v>
      </c>
      <c r="R300" t="str">
        <f>VLOOKUP(H300,'Product Cost Lookup'!A:D,3,FALSE)</f>
        <v>Hardware</v>
      </c>
      <c r="S300">
        <f t="shared" si="25"/>
        <v>17000</v>
      </c>
      <c r="T300">
        <f t="shared" si="26"/>
        <v>11000</v>
      </c>
      <c r="U300">
        <f t="shared" si="27"/>
        <v>6000</v>
      </c>
      <c r="V300" s="3">
        <f t="shared" si="28"/>
        <v>0.35294117647058826</v>
      </c>
      <c r="W300" t="str">
        <f t="shared" si="29"/>
        <v>Mar</v>
      </c>
    </row>
    <row r="301" spans="1:23">
      <c r="A301">
        <v>10157</v>
      </c>
      <c r="B301" s="1">
        <v>45304</v>
      </c>
      <c r="C301">
        <v>45304</v>
      </c>
      <c r="D301" t="s">
        <v>19</v>
      </c>
      <c r="E301" t="str">
        <f>IF(TRIM(D301)="","Unknown",PROPER(TRIM(D301)))</f>
        <v>Eldoret</v>
      </c>
      <c r="F301" t="s">
        <v>62</v>
      </c>
      <c r="G301" t="str">
        <f>PROPER(TRIM(F301))</f>
        <v>John Mwangi</v>
      </c>
      <c r="H301" t="s">
        <v>77</v>
      </c>
      <c r="I301" t="s">
        <v>78</v>
      </c>
      <c r="J301" t="str">
        <f>PROPER(TRIM(I301))</f>
        <v>Cooking Gas Burner Cb-2</v>
      </c>
      <c r="K301">
        <v>4</v>
      </c>
      <c r="L301">
        <f>IF(K301="",0,K301)</f>
        <v>4</v>
      </c>
      <c r="M301">
        <v>1950</v>
      </c>
      <c r="N301">
        <f>IF(M301="",0,M301)</f>
        <v>1950</v>
      </c>
      <c r="O301" t="str">
        <f>IF(L301&lt;0,"NEGATIVE QUANTITY","")</f>
        <v/>
      </c>
      <c r="P301">
        <f t="shared" si="24"/>
        <v>4</v>
      </c>
      <c r="Q301">
        <f>VLOOKUP(H301,'Product Cost Lookup'!A:D,4,FALSE)</f>
        <v>1200</v>
      </c>
      <c r="R301" t="str">
        <f>VLOOKUP(H301,'Product Cost Lookup'!A:D,3,FALSE)</f>
        <v>Kitchenware</v>
      </c>
      <c r="S301">
        <f t="shared" si="25"/>
        <v>7800</v>
      </c>
      <c r="T301">
        <f t="shared" si="26"/>
        <v>4800</v>
      </c>
      <c r="U301">
        <f t="shared" si="27"/>
        <v>3000</v>
      </c>
      <c r="V301" s="3">
        <f t="shared" si="28"/>
        <v>0.38461538461538464</v>
      </c>
      <c r="W301" t="str">
        <f t="shared" si="29"/>
        <v>Jan</v>
      </c>
    </row>
    <row r="302" spans="1:23">
      <c r="A302">
        <v>10272</v>
      </c>
      <c r="B302" s="1">
        <v>45334</v>
      </c>
      <c r="C302">
        <v>45334</v>
      </c>
      <c r="D302" t="s">
        <v>98</v>
      </c>
      <c r="E302" t="str">
        <f>IF(TRIM(D302)="","Unknown",PROPER(TRIM(D302)))</f>
        <v>Nairobi</v>
      </c>
      <c r="F302" t="s">
        <v>16</v>
      </c>
      <c r="G302" t="str">
        <f>PROPER(TRIM(F302))</f>
        <v>Grace Achieng</v>
      </c>
      <c r="H302" t="s">
        <v>50</v>
      </c>
      <c r="I302" t="s">
        <v>71</v>
      </c>
      <c r="J302" t="str">
        <f>PROPER(TRIM(I302))</f>
        <v>Solar Lantern Sl-200</v>
      </c>
      <c r="K302">
        <v>1</v>
      </c>
      <c r="L302">
        <f>IF(K302="",0,K302)</f>
        <v>1</v>
      </c>
      <c r="M302">
        <v>1450</v>
      </c>
      <c r="N302">
        <f>IF(M302="",0,M302)</f>
        <v>1450</v>
      </c>
      <c r="O302" t="str">
        <f>IF(L302&lt;0,"NEGATIVE QUANTITY","")</f>
        <v/>
      </c>
      <c r="P302">
        <f t="shared" si="24"/>
        <v>1</v>
      </c>
      <c r="Q302">
        <f>VLOOKUP(H302,'Product Cost Lookup'!A:D,4,FALSE)</f>
        <v>900</v>
      </c>
      <c r="R302" t="str">
        <f>VLOOKUP(H302,'Product Cost Lookup'!A:D,3,FALSE)</f>
        <v>Electronics</v>
      </c>
      <c r="S302">
        <f t="shared" si="25"/>
        <v>1450</v>
      </c>
      <c r="T302">
        <f t="shared" si="26"/>
        <v>900</v>
      </c>
      <c r="U302">
        <f t="shared" si="27"/>
        <v>550</v>
      </c>
      <c r="V302" s="3">
        <f t="shared" si="28"/>
        <v>0.37931034482758619</v>
      </c>
      <c r="W302" t="str">
        <f t="shared" si="29"/>
        <v>Feb</v>
      </c>
    </row>
    <row r="303" spans="1:23">
      <c r="A303">
        <v>10127</v>
      </c>
      <c r="B303" s="1">
        <v>45352</v>
      </c>
      <c r="C303">
        <v>45352</v>
      </c>
      <c r="D303" t="s">
        <v>35</v>
      </c>
      <c r="E303" t="str">
        <f>IF(TRIM(D303)="","Unknown",PROPER(TRIM(D303)))</f>
        <v>Kisumu</v>
      </c>
      <c r="F303" t="s">
        <v>14</v>
      </c>
      <c r="G303" t="str">
        <f>PROPER(TRIM(F303))</f>
        <v>Faith Wanjiru</v>
      </c>
      <c r="H303" t="s">
        <v>30</v>
      </c>
      <c r="I303" t="s">
        <v>31</v>
      </c>
      <c r="J303" t="str">
        <f>PROPER(TRIM(I303))</f>
        <v>Garden Hose 20M</v>
      </c>
      <c r="K303">
        <v>1</v>
      </c>
      <c r="L303">
        <f>IF(K303="",0,K303)</f>
        <v>1</v>
      </c>
      <c r="M303">
        <v>1800</v>
      </c>
      <c r="N303">
        <f>IF(M303="",0,M303)</f>
        <v>1800</v>
      </c>
      <c r="O303" t="str">
        <f>IF(L303&lt;0,"NEGATIVE QUANTITY","")</f>
        <v/>
      </c>
      <c r="P303">
        <f t="shared" si="24"/>
        <v>1</v>
      </c>
      <c r="Q303">
        <f>VLOOKUP(H303,'Product Cost Lookup'!A:D,4,FALSE)</f>
        <v>1100</v>
      </c>
      <c r="R303" t="str">
        <f>VLOOKUP(H303,'Product Cost Lookup'!A:D,3,FALSE)</f>
        <v>Hardware</v>
      </c>
      <c r="S303">
        <f t="shared" si="25"/>
        <v>1800</v>
      </c>
      <c r="T303">
        <f t="shared" si="26"/>
        <v>1100</v>
      </c>
      <c r="U303">
        <f t="shared" si="27"/>
        <v>700</v>
      </c>
      <c r="V303" s="3">
        <f t="shared" si="28"/>
        <v>0.3888888888888889</v>
      </c>
      <c r="W303" t="str">
        <f t="shared" si="29"/>
        <v>Mar</v>
      </c>
    </row>
    <row r="304" spans="1:23">
      <c r="A304">
        <v>10021</v>
      </c>
      <c r="B304" s="1">
        <v>45507</v>
      </c>
      <c r="C304">
        <v>45507</v>
      </c>
      <c r="D304" t="s">
        <v>175</v>
      </c>
      <c r="E304" t="str">
        <f>IF(TRIM(D304)="","Unknown",PROPER(TRIM(D304)))</f>
        <v>Nairobi</v>
      </c>
      <c r="F304" t="s">
        <v>109</v>
      </c>
      <c r="G304" t="str">
        <f>PROPER(TRIM(F304))</f>
        <v>Samuel Kiptoo</v>
      </c>
      <c r="H304" t="s">
        <v>21</v>
      </c>
      <c r="I304" t="s">
        <v>22</v>
      </c>
      <c r="J304" t="str">
        <f>PROPER(TRIM(I304))</f>
        <v>Water Dispenser Stand</v>
      </c>
      <c r="K304">
        <v>20</v>
      </c>
      <c r="L304">
        <f>IF(K304="",0,K304)</f>
        <v>20</v>
      </c>
      <c r="M304">
        <v>2250</v>
      </c>
      <c r="N304">
        <f>IF(M304="",0,M304)</f>
        <v>2250</v>
      </c>
      <c r="O304" t="str">
        <f>IF(L304&lt;0,"NEGATIVE QUANTITY","")</f>
        <v/>
      </c>
      <c r="P304">
        <f t="shared" si="24"/>
        <v>20</v>
      </c>
      <c r="Q304">
        <f>VLOOKUP(H304,'Product Cost Lookup'!A:D,4,FALSE)</f>
        <v>1500</v>
      </c>
      <c r="R304" t="str">
        <f>VLOOKUP(H304,'Product Cost Lookup'!A:D,3,FALSE)</f>
        <v>Household</v>
      </c>
      <c r="S304">
        <f t="shared" si="25"/>
        <v>45000</v>
      </c>
      <c r="T304">
        <f t="shared" si="26"/>
        <v>30000</v>
      </c>
      <c r="U304">
        <f t="shared" si="27"/>
        <v>15000</v>
      </c>
      <c r="V304" s="3">
        <f t="shared" si="28"/>
        <v>0.33333333333333331</v>
      </c>
      <c r="W304" t="str">
        <f t="shared" si="29"/>
        <v>Aug</v>
      </c>
    </row>
    <row r="305" spans="1:23">
      <c r="A305">
        <v>10288</v>
      </c>
      <c r="B305" s="1">
        <v>45369</v>
      </c>
      <c r="C305">
        <v>45369</v>
      </c>
      <c r="D305" t="s">
        <v>41</v>
      </c>
      <c r="E305" t="str">
        <f>IF(TRIM(D305)="","Unknown",PROPER(TRIM(D305)))</f>
        <v>Nakuru</v>
      </c>
      <c r="F305" t="s">
        <v>27</v>
      </c>
      <c r="G305" t="str">
        <f>PROPER(TRIM(F305))</f>
        <v>Aisha Hassan</v>
      </c>
      <c r="H305" t="s">
        <v>53</v>
      </c>
      <c r="I305" t="s">
        <v>177</v>
      </c>
      <c r="J305" t="str">
        <f>PROPER(TRIM(I305))</f>
        <v>Rechargeable Torch Rt-10</v>
      </c>
      <c r="K305">
        <v>4</v>
      </c>
      <c r="L305">
        <f>IF(K305="",0,K305)</f>
        <v>4</v>
      </c>
      <c r="M305">
        <v>1000</v>
      </c>
      <c r="N305">
        <f>IF(M305="",0,M305)</f>
        <v>1000</v>
      </c>
      <c r="O305" t="str">
        <f>IF(L305&lt;0,"NEGATIVE QUANTITY","")</f>
        <v/>
      </c>
      <c r="P305">
        <f t="shared" si="24"/>
        <v>4</v>
      </c>
      <c r="Q305">
        <f>VLOOKUP(H305,'Product Cost Lookup'!A:D,4,FALSE)</f>
        <v>600</v>
      </c>
      <c r="R305" t="str">
        <f>VLOOKUP(H305,'Product Cost Lookup'!A:D,3,FALSE)</f>
        <v>Electronics</v>
      </c>
      <c r="S305">
        <f t="shared" si="25"/>
        <v>4000</v>
      </c>
      <c r="T305">
        <f t="shared" si="26"/>
        <v>2400</v>
      </c>
      <c r="U305">
        <f t="shared" si="27"/>
        <v>1600</v>
      </c>
      <c r="V305" s="3">
        <f t="shared" si="28"/>
        <v>0.4</v>
      </c>
      <c r="W305" t="str">
        <f t="shared" si="29"/>
        <v>Mar</v>
      </c>
    </row>
    <row r="306" spans="1:23">
      <c r="A306">
        <v>10235</v>
      </c>
      <c r="B306" t="s">
        <v>178</v>
      </c>
      <c r="C306">
        <v>45322</v>
      </c>
      <c r="D306" t="s">
        <v>58</v>
      </c>
      <c r="E306" t="str">
        <f>IF(TRIM(D306)="","Unknown",PROPER(TRIM(D306)))</f>
        <v>Nairobi</v>
      </c>
      <c r="F306" t="s">
        <v>48</v>
      </c>
      <c r="G306" t="str">
        <f>PROPER(TRIM(F306))</f>
        <v>Brian Mutua</v>
      </c>
      <c r="H306" t="s">
        <v>33</v>
      </c>
      <c r="I306" t="s">
        <v>60</v>
      </c>
      <c r="J306" t="str">
        <f>PROPER(TRIM(I306))</f>
        <v>Padlock Set (3Pc)</v>
      </c>
      <c r="K306">
        <v>6</v>
      </c>
      <c r="L306">
        <f>IF(K306="",0,K306)</f>
        <v>6</v>
      </c>
      <c r="M306">
        <v>700</v>
      </c>
      <c r="N306">
        <f>IF(M306="",0,M306)</f>
        <v>700</v>
      </c>
      <c r="O306" t="str">
        <f>IF(L306&lt;0,"NEGATIVE QUANTITY","")</f>
        <v/>
      </c>
      <c r="P306">
        <f t="shared" si="24"/>
        <v>6</v>
      </c>
      <c r="Q306">
        <f>VLOOKUP(H306,'Product Cost Lookup'!A:D,4,FALSE)</f>
        <v>450</v>
      </c>
      <c r="R306" t="str">
        <f>VLOOKUP(H306,'Product Cost Lookup'!A:D,3,FALSE)</f>
        <v>Hardware</v>
      </c>
      <c r="S306">
        <f t="shared" si="25"/>
        <v>4200</v>
      </c>
      <c r="T306">
        <f t="shared" si="26"/>
        <v>2700</v>
      </c>
      <c r="U306">
        <f t="shared" si="27"/>
        <v>1500</v>
      </c>
      <c r="V306" s="3">
        <f t="shared" si="28"/>
        <v>0.35714285714285715</v>
      </c>
      <c r="W306" t="str">
        <f t="shared" si="29"/>
        <v>Jan</v>
      </c>
    </row>
    <row r="307" spans="1:23">
      <c r="A307">
        <v>10257</v>
      </c>
      <c r="B307" s="1">
        <v>45344</v>
      </c>
      <c r="C307">
        <v>45344</v>
      </c>
      <c r="D307" t="s">
        <v>74</v>
      </c>
      <c r="E307" t="str">
        <f>IF(TRIM(D307)="","Unknown",PROPER(TRIM(D307)))</f>
        <v>Nairobi</v>
      </c>
      <c r="F307" t="s">
        <v>114</v>
      </c>
      <c r="G307" t="str">
        <f>PROPER(TRIM(F307))</f>
        <v>Samuel Kiptoo</v>
      </c>
      <c r="H307" t="s">
        <v>90</v>
      </c>
      <c r="I307" t="s">
        <v>144</v>
      </c>
      <c r="J307" t="str">
        <f>PROPER(TRIM(I307))</f>
        <v>Wheelbarrow - Heavy Duty</v>
      </c>
      <c r="K307">
        <v>4</v>
      </c>
      <c r="L307">
        <f>IF(K307="",0,K307)</f>
        <v>4</v>
      </c>
      <c r="M307">
        <v>5200</v>
      </c>
      <c r="N307">
        <f>IF(M307="",0,M307)</f>
        <v>5200</v>
      </c>
      <c r="O307" t="str">
        <f>IF(L307&lt;0,"NEGATIVE QUANTITY","")</f>
        <v/>
      </c>
      <c r="P307">
        <f t="shared" si="24"/>
        <v>4</v>
      </c>
      <c r="Q307">
        <f>VLOOKUP(H307,'Product Cost Lookup'!A:D,4,FALSE)</f>
        <v>3500</v>
      </c>
      <c r="R307" t="str">
        <f>VLOOKUP(H307,'Product Cost Lookup'!A:D,3,FALSE)</f>
        <v>Hardware</v>
      </c>
      <c r="S307">
        <f t="shared" si="25"/>
        <v>20800</v>
      </c>
      <c r="T307">
        <f t="shared" si="26"/>
        <v>14000</v>
      </c>
      <c r="U307">
        <f t="shared" si="27"/>
        <v>6800</v>
      </c>
      <c r="V307" s="3">
        <f t="shared" si="28"/>
        <v>0.32692307692307693</v>
      </c>
      <c r="W307" t="str">
        <f t="shared" si="29"/>
        <v>Feb</v>
      </c>
    </row>
    <row r="308" spans="1:23">
      <c r="A308">
        <v>10102</v>
      </c>
      <c r="B308" s="1">
        <v>45295</v>
      </c>
      <c r="C308">
        <v>45295</v>
      </c>
      <c r="D308" t="s">
        <v>35</v>
      </c>
      <c r="E308" t="str">
        <f>IF(TRIM(D308)="","Unknown",PROPER(TRIM(D308)))</f>
        <v>Kisumu</v>
      </c>
      <c r="F308" t="s">
        <v>134</v>
      </c>
      <c r="G308" t="str">
        <f>PROPER(TRIM(F308))</f>
        <v>Grace Achieng</v>
      </c>
      <c r="H308" t="s">
        <v>55</v>
      </c>
      <c r="I308" t="s">
        <v>160</v>
      </c>
      <c r="J308" t="str">
        <f>PROPER(TRIM(I308))</f>
        <v>Led Bulb 9W (Pack Of 4)</v>
      </c>
      <c r="K308">
        <v>20</v>
      </c>
      <c r="L308">
        <f>IF(K308="",0,K308)</f>
        <v>20</v>
      </c>
      <c r="M308">
        <v>780</v>
      </c>
      <c r="N308">
        <f>IF(M308="",0,M308)</f>
        <v>780</v>
      </c>
      <c r="O308" t="str">
        <f>IF(L308&lt;0,"NEGATIVE QUANTITY","")</f>
        <v/>
      </c>
      <c r="P308">
        <f t="shared" si="24"/>
        <v>20</v>
      </c>
      <c r="Q308">
        <f>VLOOKUP(H308,'Product Cost Lookup'!A:D,4,FALSE)</f>
        <v>480</v>
      </c>
      <c r="R308" t="str">
        <f>VLOOKUP(H308,'Product Cost Lookup'!A:D,3,FALSE)</f>
        <v>Electronics</v>
      </c>
      <c r="S308">
        <f t="shared" si="25"/>
        <v>15600</v>
      </c>
      <c r="T308">
        <f t="shared" si="26"/>
        <v>9600</v>
      </c>
      <c r="U308">
        <f t="shared" si="27"/>
        <v>6000</v>
      </c>
      <c r="V308" s="3">
        <f t="shared" si="28"/>
        <v>0.38461538461538464</v>
      </c>
      <c r="W308" t="str">
        <f t="shared" si="29"/>
        <v>Jan</v>
      </c>
    </row>
    <row r="309" spans="1:23">
      <c r="A309">
        <v>10096</v>
      </c>
      <c r="B309" s="1">
        <v>45328</v>
      </c>
      <c r="C309">
        <v>45328</v>
      </c>
      <c r="D309" t="s">
        <v>35</v>
      </c>
      <c r="E309" t="str">
        <f>IF(TRIM(D309)="","Unknown",PROPER(TRIM(D309)))</f>
        <v>Kisumu</v>
      </c>
      <c r="F309" t="s">
        <v>9</v>
      </c>
      <c r="G309" t="str">
        <f>PROPER(TRIM(F309))</f>
        <v>Peter Otieno</v>
      </c>
      <c r="H309" t="s">
        <v>25</v>
      </c>
      <c r="I309" t="s">
        <v>97</v>
      </c>
      <c r="J309" t="str">
        <f>PROPER(TRIM(I309))</f>
        <v>Plastic Storage Basket (L)</v>
      </c>
      <c r="K309">
        <v>2</v>
      </c>
      <c r="L309">
        <f>IF(K309="",0,K309)</f>
        <v>2</v>
      </c>
      <c r="M309">
        <v>520</v>
      </c>
      <c r="N309">
        <f>IF(M309="",0,M309)</f>
        <v>520</v>
      </c>
      <c r="O309" t="str">
        <f>IF(L309&lt;0,"NEGATIVE QUANTITY","")</f>
        <v/>
      </c>
      <c r="P309">
        <f t="shared" si="24"/>
        <v>2</v>
      </c>
      <c r="Q309">
        <f>VLOOKUP(H309,'Product Cost Lookup'!A:D,4,FALSE)</f>
        <v>250</v>
      </c>
      <c r="R309" t="str">
        <f>VLOOKUP(H309,'Product Cost Lookup'!A:D,3,FALSE)</f>
        <v>Household</v>
      </c>
      <c r="S309">
        <f t="shared" si="25"/>
        <v>1040</v>
      </c>
      <c r="T309">
        <f t="shared" si="26"/>
        <v>500</v>
      </c>
      <c r="U309">
        <f t="shared" si="27"/>
        <v>540</v>
      </c>
      <c r="V309" s="3">
        <f t="shared" si="28"/>
        <v>0.51923076923076927</v>
      </c>
      <c r="W309" t="str">
        <f t="shared" si="29"/>
        <v>Feb</v>
      </c>
    </row>
    <row r="310" spans="1:23">
      <c r="A310">
        <v>10046</v>
      </c>
      <c r="B310" s="1">
        <v>45294</v>
      </c>
      <c r="C310">
        <v>45294</v>
      </c>
      <c r="D310" t="s">
        <v>74</v>
      </c>
      <c r="E310" t="str">
        <f>IF(TRIM(D310)="","Unknown",PROPER(TRIM(D310)))</f>
        <v>Nairobi</v>
      </c>
      <c r="F310" t="s">
        <v>46</v>
      </c>
      <c r="G310" t="str">
        <f>PROPER(TRIM(F310))</f>
        <v>Samuel Kiptoo</v>
      </c>
      <c r="H310" t="s">
        <v>77</v>
      </c>
      <c r="I310" t="s">
        <v>78</v>
      </c>
      <c r="J310" t="str">
        <f>PROPER(TRIM(I310))</f>
        <v>Cooking Gas Burner Cb-2</v>
      </c>
      <c r="K310">
        <v>8</v>
      </c>
      <c r="L310">
        <f>IF(K310="",0,K310)</f>
        <v>8</v>
      </c>
      <c r="M310">
        <v>1850</v>
      </c>
      <c r="N310">
        <f>IF(M310="",0,M310)</f>
        <v>1850</v>
      </c>
      <c r="O310" t="str">
        <f>IF(L310&lt;0,"NEGATIVE QUANTITY","")</f>
        <v/>
      </c>
      <c r="P310">
        <f t="shared" si="24"/>
        <v>8</v>
      </c>
      <c r="Q310">
        <f>VLOOKUP(H310,'Product Cost Lookup'!A:D,4,FALSE)</f>
        <v>1200</v>
      </c>
      <c r="R310" t="str">
        <f>VLOOKUP(H310,'Product Cost Lookup'!A:D,3,FALSE)</f>
        <v>Kitchenware</v>
      </c>
      <c r="S310">
        <f t="shared" si="25"/>
        <v>14800</v>
      </c>
      <c r="T310">
        <f t="shared" si="26"/>
        <v>9600</v>
      </c>
      <c r="U310">
        <f t="shared" si="27"/>
        <v>5200</v>
      </c>
      <c r="V310" s="3">
        <f t="shared" si="28"/>
        <v>0.35135135135135137</v>
      </c>
      <c r="W310" t="str">
        <f t="shared" si="29"/>
        <v>Jan</v>
      </c>
    </row>
    <row r="311" spans="1:23">
      <c r="A311">
        <v>10273</v>
      </c>
      <c r="B311" s="1">
        <v>45294</v>
      </c>
      <c r="C311">
        <v>45294</v>
      </c>
      <c r="D311" t="s">
        <v>41</v>
      </c>
      <c r="E311" t="str">
        <f>IF(TRIM(D311)="","Unknown",PROPER(TRIM(D311)))</f>
        <v>Nakuru</v>
      </c>
      <c r="F311" t="s">
        <v>16</v>
      </c>
      <c r="G311" t="str">
        <f>PROPER(TRIM(F311))</f>
        <v>Grace Achieng</v>
      </c>
      <c r="H311" t="s">
        <v>111</v>
      </c>
      <c r="I311" t="s">
        <v>112</v>
      </c>
      <c r="J311" t="str">
        <f>PROPER(TRIM(I311))</f>
        <v>Thermos Flask 1L</v>
      </c>
      <c r="K311">
        <v>1</v>
      </c>
      <c r="L311">
        <f>IF(K311="",0,K311)</f>
        <v>1</v>
      </c>
      <c r="M311">
        <v>1000</v>
      </c>
      <c r="N311">
        <f>IF(M311="",0,M311)</f>
        <v>1000</v>
      </c>
      <c r="O311" t="str">
        <f>IF(L311&lt;0,"NEGATIVE QUANTITY","")</f>
        <v/>
      </c>
      <c r="P311">
        <f t="shared" si="24"/>
        <v>1</v>
      </c>
      <c r="Q311">
        <f>VLOOKUP(H311,'Product Cost Lookup'!A:D,4,FALSE)</f>
        <v>550</v>
      </c>
      <c r="R311" t="str">
        <f>VLOOKUP(H311,'Product Cost Lookup'!A:D,3,FALSE)</f>
        <v>Kitchenware</v>
      </c>
      <c r="S311">
        <f t="shared" si="25"/>
        <v>1000</v>
      </c>
      <c r="T311">
        <f t="shared" si="26"/>
        <v>550</v>
      </c>
      <c r="U311">
        <f t="shared" si="27"/>
        <v>450</v>
      </c>
      <c r="V311" s="3">
        <f t="shared" si="28"/>
        <v>0.45</v>
      </c>
      <c r="W311" t="str">
        <f t="shared" si="29"/>
        <v>Jan</v>
      </c>
    </row>
    <row r="312" spans="1:23">
      <c r="A312">
        <v>10306</v>
      </c>
      <c r="B312" s="1">
        <v>45385</v>
      </c>
      <c r="C312">
        <v>45385</v>
      </c>
      <c r="D312" t="s">
        <v>152</v>
      </c>
      <c r="E312" t="str">
        <f>IF(TRIM(D312)="","Unknown",PROPER(TRIM(D312)))</f>
        <v>Nakuru</v>
      </c>
      <c r="F312" t="s">
        <v>14</v>
      </c>
      <c r="G312" t="str">
        <f>PROPER(TRIM(F312))</f>
        <v>Faith Wanjiru</v>
      </c>
      <c r="H312" t="s">
        <v>65</v>
      </c>
      <c r="I312" t="s">
        <v>73</v>
      </c>
      <c r="J312" t="str">
        <f>PROPER(TRIM(I312))</f>
        <v>Mosquito Net - Family Size</v>
      </c>
      <c r="K312">
        <v>6</v>
      </c>
      <c r="L312">
        <f>IF(K312="",0,K312)</f>
        <v>6</v>
      </c>
      <c r="M312">
        <v>650</v>
      </c>
      <c r="N312">
        <f>IF(M312="",0,M312)</f>
        <v>650</v>
      </c>
      <c r="O312" t="str">
        <f>IF(L312&lt;0,"NEGATIVE QUANTITY","")</f>
        <v/>
      </c>
      <c r="P312">
        <f t="shared" si="24"/>
        <v>6</v>
      </c>
      <c r="Q312">
        <f>VLOOKUP(H312,'Product Cost Lookup'!A:D,4,FALSE)</f>
        <v>400</v>
      </c>
      <c r="R312" t="str">
        <f>VLOOKUP(H312,'Product Cost Lookup'!A:D,3,FALSE)</f>
        <v>Household</v>
      </c>
      <c r="S312">
        <f t="shared" si="25"/>
        <v>3900</v>
      </c>
      <c r="T312">
        <f t="shared" si="26"/>
        <v>2400</v>
      </c>
      <c r="U312">
        <f t="shared" si="27"/>
        <v>1500</v>
      </c>
      <c r="V312" s="3">
        <f t="shared" si="28"/>
        <v>0.38461538461538464</v>
      </c>
      <c r="W312" t="str">
        <f t="shared" si="29"/>
        <v>Apr</v>
      </c>
    </row>
    <row r="313" spans="1:23">
      <c r="A313">
        <v>10249</v>
      </c>
      <c r="B313" s="1">
        <v>45384</v>
      </c>
      <c r="C313">
        <v>45384</v>
      </c>
      <c r="D313" t="s">
        <v>41</v>
      </c>
      <c r="E313" t="str">
        <f>IF(TRIM(D313)="","Unknown",PROPER(TRIM(D313)))</f>
        <v>Nakuru</v>
      </c>
      <c r="F313" t="s">
        <v>81</v>
      </c>
      <c r="G313" t="str">
        <f>PROPER(TRIM(F313))</f>
        <v>Aisha Hassan</v>
      </c>
      <c r="H313" t="s">
        <v>10</v>
      </c>
      <c r="I313" t="s">
        <v>11</v>
      </c>
      <c r="J313" t="str">
        <f>PROPER(TRIM(I313))</f>
        <v>Kitchen Knife Set</v>
      </c>
      <c r="K313">
        <v>8</v>
      </c>
      <c r="L313">
        <f>IF(K313="",0,K313)</f>
        <v>8</v>
      </c>
      <c r="M313">
        <v>1300</v>
      </c>
      <c r="N313">
        <f>IF(M313="",0,M313)</f>
        <v>1300</v>
      </c>
      <c r="O313" t="str">
        <f>IF(L313&lt;0,"NEGATIVE QUANTITY","")</f>
        <v/>
      </c>
      <c r="P313">
        <f t="shared" si="24"/>
        <v>8</v>
      </c>
      <c r="Q313">
        <f>VLOOKUP(H313,'Product Cost Lookup'!A:D,4,FALSE)</f>
        <v>800</v>
      </c>
      <c r="R313" t="str">
        <f>VLOOKUP(H313,'Product Cost Lookup'!A:D,3,FALSE)</f>
        <v>Kitchenware</v>
      </c>
      <c r="S313">
        <f t="shared" si="25"/>
        <v>10400</v>
      </c>
      <c r="T313">
        <f t="shared" si="26"/>
        <v>6400</v>
      </c>
      <c r="U313">
        <f t="shared" si="27"/>
        <v>4000</v>
      </c>
      <c r="V313" s="3">
        <f t="shared" si="28"/>
        <v>0.38461538461538464</v>
      </c>
      <c r="W313" t="str">
        <f t="shared" si="29"/>
        <v>Apr</v>
      </c>
    </row>
    <row r="314" spans="1:23">
      <c r="A314">
        <v>10162</v>
      </c>
      <c r="B314" s="1">
        <v>45383</v>
      </c>
      <c r="C314">
        <v>45383</v>
      </c>
      <c r="D314" t="s">
        <v>58</v>
      </c>
      <c r="E314" t="str">
        <f>IF(TRIM(D314)="","Unknown",PROPER(TRIM(D314)))</f>
        <v>Nairobi</v>
      </c>
      <c r="F314" t="s">
        <v>24</v>
      </c>
      <c r="G314" t="str">
        <f>PROPER(TRIM(F314))</f>
        <v>Mercy Njeri</v>
      </c>
      <c r="H314" t="s">
        <v>111</v>
      </c>
      <c r="I314" t="s">
        <v>112</v>
      </c>
      <c r="J314" t="str">
        <f>PROPER(TRIM(I314))</f>
        <v>Thermos Flask 1L</v>
      </c>
      <c r="K314">
        <v>2</v>
      </c>
      <c r="L314">
        <f>IF(K314="",0,K314)</f>
        <v>2</v>
      </c>
      <c r="M314">
        <v>1000</v>
      </c>
      <c r="N314">
        <f>IF(M314="",0,M314)</f>
        <v>1000</v>
      </c>
      <c r="O314" t="str">
        <f>IF(L314&lt;0,"NEGATIVE QUANTITY","")</f>
        <v/>
      </c>
      <c r="P314">
        <f t="shared" si="24"/>
        <v>2</v>
      </c>
      <c r="Q314">
        <f>VLOOKUP(H314,'Product Cost Lookup'!A:D,4,FALSE)</f>
        <v>550</v>
      </c>
      <c r="R314" t="str">
        <f>VLOOKUP(H314,'Product Cost Lookup'!A:D,3,FALSE)</f>
        <v>Kitchenware</v>
      </c>
      <c r="S314">
        <f t="shared" si="25"/>
        <v>2000</v>
      </c>
      <c r="T314">
        <f t="shared" si="26"/>
        <v>1100</v>
      </c>
      <c r="U314">
        <f t="shared" si="27"/>
        <v>900</v>
      </c>
      <c r="V314" s="3">
        <f t="shared" si="28"/>
        <v>0.45</v>
      </c>
      <c r="W314" t="str">
        <f t="shared" si="29"/>
        <v>Apr</v>
      </c>
    </row>
    <row r="315" spans="1:23">
      <c r="A315">
        <v>10051</v>
      </c>
      <c r="B315" s="1">
        <v>45537</v>
      </c>
      <c r="C315">
        <v>45537</v>
      </c>
      <c r="D315" t="s">
        <v>145</v>
      </c>
      <c r="E315" t="str">
        <f>IF(TRIM(D315)="","Unknown",PROPER(TRIM(D315)))</f>
        <v>Eldoret</v>
      </c>
      <c r="F315" t="s">
        <v>133</v>
      </c>
      <c r="G315" t="str">
        <f>PROPER(TRIM(F315))</f>
        <v>John Mwangi</v>
      </c>
      <c r="H315" t="s">
        <v>90</v>
      </c>
      <c r="I315" t="s">
        <v>91</v>
      </c>
      <c r="J315" t="str">
        <f>PROPER(TRIM(I315))</f>
        <v>Wheelbarrow Heavy Duty</v>
      </c>
      <c r="K315">
        <v>2</v>
      </c>
      <c r="L315">
        <f>IF(K315="",0,K315)</f>
        <v>2</v>
      </c>
      <c r="M315">
        <v>5200</v>
      </c>
      <c r="N315">
        <f>IF(M315="",0,M315)</f>
        <v>5200</v>
      </c>
      <c r="O315" t="str">
        <f>IF(L315&lt;0,"NEGATIVE QUANTITY","")</f>
        <v/>
      </c>
      <c r="P315">
        <f t="shared" si="24"/>
        <v>2</v>
      </c>
      <c r="Q315">
        <f>VLOOKUP(H315,'Product Cost Lookup'!A:D,4,FALSE)</f>
        <v>3500</v>
      </c>
      <c r="R315" t="str">
        <f>VLOOKUP(H315,'Product Cost Lookup'!A:D,3,FALSE)</f>
        <v>Hardware</v>
      </c>
      <c r="S315">
        <f t="shared" si="25"/>
        <v>10400</v>
      </c>
      <c r="T315">
        <f t="shared" si="26"/>
        <v>7000</v>
      </c>
      <c r="U315">
        <f t="shared" si="27"/>
        <v>3400</v>
      </c>
      <c r="V315" s="3">
        <f t="shared" si="28"/>
        <v>0.32692307692307693</v>
      </c>
      <c r="W315" t="str">
        <f t="shared" si="29"/>
        <v>Sep</v>
      </c>
    </row>
    <row r="316" spans="1:23">
      <c r="A316">
        <v>10261</v>
      </c>
      <c r="B316" s="2">
        <v>45329</v>
      </c>
      <c r="C316">
        <v>45329</v>
      </c>
      <c r="D316" t="s">
        <v>40</v>
      </c>
      <c r="E316" t="str">
        <f>IF(TRIM(D316)="","Unknown",PROPER(TRIM(D316)))</f>
        <v>Thika</v>
      </c>
      <c r="F316" t="s">
        <v>24</v>
      </c>
      <c r="G316" t="str">
        <f>PROPER(TRIM(F316))</f>
        <v>Mercy Njeri</v>
      </c>
      <c r="H316" t="s">
        <v>21</v>
      </c>
      <c r="I316" t="s">
        <v>22</v>
      </c>
      <c r="J316" t="str">
        <f>PROPER(TRIM(I316))</f>
        <v>Water Dispenser Stand</v>
      </c>
      <c r="K316">
        <v>20</v>
      </c>
      <c r="L316">
        <f>IF(K316="",0,K316)</f>
        <v>20</v>
      </c>
      <c r="M316">
        <v>2300</v>
      </c>
      <c r="N316">
        <f>IF(M316="",0,M316)</f>
        <v>2300</v>
      </c>
      <c r="O316" t="str">
        <f>IF(L316&lt;0,"NEGATIVE QUANTITY","")</f>
        <v/>
      </c>
      <c r="P316">
        <f t="shared" si="24"/>
        <v>20</v>
      </c>
      <c r="Q316">
        <f>VLOOKUP(H316,'Product Cost Lookup'!A:D,4,FALSE)</f>
        <v>1500</v>
      </c>
      <c r="R316" t="str">
        <f>VLOOKUP(H316,'Product Cost Lookup'!A:D,3,FALSE)</f>
        <v>Household</v>
      </c>
      <c r="S316">
        <f t="shared" si="25"/>
        <v>46000</v>
      </c>
      <c r="T316">
        <f t="shared" si="26"/>
        <v>30000</v>
      </c>
      <c r="U316">
        <f t="shared" si="27"/>
        <v>16000</v>
      </c>
      <c r="V316" s="3">
        <f t="shared" si="28"/>
        <v>0.34782608695652173</v>
      </c>
      <c r="W316" t="str">
        <f t="shared" si="29"/>
        <v>Feb</v>
      </c>
    </row>
    <row r="317" spans="1:23">
      <c r="A317">
        <v>10195</v>
      </c>
      <c r="B317" s="1">
        <v>45326</v>
      </c>
      <c r="C317">
        <v>45326</v>
      </c>
      <c r="D317" t="s">
        <v>40</v>
      </c>
      <c r="E317" t="str">
        <f>IF(TRIM(D317)="","Unknown",PROPER(TRIM(D317)))</f>
        <v>Thika</v>
      </c>
      <c r="F317" t="s">
        <v>134</v>
      </c>
      <c r="G317" t="str">
        <f>PROPER(TRIM(F317))</f>
        <v>Grace Achieng</v>
      </c>
      <c r="H317" t="s">
        <v>10</v>
      </c>
      <c r="I317" t="s">
        <v>179</v>
      </c>
      <c r="J317" t="str">
        <f>PROPER(TRIM(I317))</f>
        <v>Kitchen Knife Set</v>
      </c>
      <c r="K317">
        <v>1</v>
      </c>
      <c r="L317">
        <f>IF(K317="",0,K317)</f>
        <v>1</v>
      </c>
      <c r="M317">
        <v>1300</v>
      </c>
      <c r="N317">
        <f>IF(M317="",0,M317)</f>
        <v>1300</v>
      </c>
      <c r="O317" t="str">
        <f>IF(L317&lt;0,"NEGATIVE QUANTITY","")</f>
        <v/>
      </c>
      <c r="P317">
        <f t="shared" si="24"/>
        <v>1</v>
      </c>
      <c r="Q317">
        <f>VLOOKUP(H317,'Product Cost Lookup'!A:D,4,FALSE)</f>
        <v>800</v>
      </c>
      <c r="R317" t="str">
        <f>VLOOKUP(H317,'Product Cost Lookup'!A:D,3,FALSE)</f>
        <v>Kitchenware</v>
      </c>
      <c r="S317">
        <f t="shared" si="25"/>
        <v>1300</v>
      </c>
      <c r="T317">
        <f t="shared" si="26"/>
        <v>800</v>
      </c>
      <c r="U317">
        <f t="shared" si="27"/>
        <v>500</v>
      </c>
      <c r="V317" s="3">
        <f t="shared" si="28"/>
        <v>0.38461538461538464</v>
      </c>
      <c r="W317" t="str">
        <f t="shared" si="29"/>
        <v>Feb</v>
      </c>
    </row>
    <row r="318" spans="1:23">
      <c r="A318">
        <v>10119</v>
      </c>
      <c r="B318" s="1">
        <v>45355</v>
      </c>
      <c r="C318">
        <v>45355</v>
      </c>
      <c r="D318" t="s">
        <v>40</v>
      </c>
      <c r="E318" t="str">
        <f>IF(TRIM(D318)="","Unknown",PROPER(TRIM(D318)))</f>
        <v>Thika</v>
      </c>
      <c r="F318" t="s">
        <v>46</v>
      </c>
      <c r="G318" t="str">
        <f>PROPER(TRIM(F318))</f>
        <v>Samuel Kiptoo</v>
      </c>
      <c r="H318" t="s">
        <v>33</v>
      </c>
      <c r="I318" t="s">
        <v>60</v>
      </c>
      <c r="J318" t="str">
        <f>PROPER(TRIM(I318))</f>
        <v>Padlock Set (3Pc)</v>
      </c>
      <c r="K318">
        <v>5</v>
      </c>
      <c r="L318">
        <f>IF(K318="",0,K318)</f>
        <v>5</v>
      </c>
      <c r="M318">
        <v>750</v>
      </c>
      <c r="N318">
        <f>IF(M318="",0,M318)</f>
        <v>750</v>
      </c>
      <c r="O318" t="str">
        <f>IF(L318&lt;0,"NEGATIVE QUANTITY","")</f>
        <v/>
      </c>
      <c r="P318">
        <f t="shared" si="24"/>
        <v>5</v>
      </c>
      <c r="Q318">
        <f>VLOOKUP(H318,'Product Cost Lookup'!A:D,4,FALSE)</f>
        <v>450</v>
      </c>
      <c r="R318" t="str">
        <f>VLOOKUP(H318,'Product Cost Lookup'!A:D,3,FALSE)</f>
        <v>Hardware</v>
      </c>
      <c r="S318">
        <f t="shared" si="25"/>
        <v>3750</v>
      </c>
      <c r="T318">
        <f t="shared" si="26"/>
        <v>2250</v>
      </c>
      <c r="U318">
        <f t="shared" si="27"/>
        <v>1500</v>
      </c>
      <c r="V318" s="3">
        <f t="shared" si="28"/>
        <v>0.4</v>
      </c>
      <c r="W318" t="str">
        <f t="shared" si="29"/>
        <v>Mar</v>
      </c>
    </row>
    <row r="319" spans="1:23">
      <c r="A319">
        <v>10198</v>
      </c>
      <c r="B319" t="s">
        <v>180</v>
      </c>
      <c r="C319">
        <v>45339</v>
      </c>
      <c r="D319" t="s">
        <v>98</v>
      </c>
      <c r="E319" t="str">
        <f>IF(TRIM(D319)="","Unknown",PROPER(TRIM(D319)))</f>
        <v>Nairobi</v>
      </c>
      <c r="F319" t="s">
        <v>62</v>
      </c>
      <c r="G319" t="str">
        <f>PROPER(TRIM(F319))</f>
        <v>John Mwangi</v>
      </c>
      <c r="H319" t="s">
        <v>53</v>
      </c>
      <c r="I319" t="s">
        <v>54</v>
      </c>
      <c r="J319" t="str">
        <f>PROPER(TRIM(I319))</f>
        <v>Rechargeable Torch Rt-10</v>
      </c>
      <c r="K319">
        <v>4</v>
      </c>
      <c r="L319">
        <f>IF(K319="",0,K319)</f>
        <v>4</v>
      </c>
      <c r="M319">
        <v>1050</v>
      </c>
      <c r="N319">
        <f>IF(M319="",0,M319)</f>
        <v>1050</v>
      </c>
      <c r="O319" t="str">
        <f>IF(L319&lt;0,"NEGATIVE QUANTITY","")</f>
        <v/>
      </c>
      <c r="P319">
        <f t="shared" si="24"/>
        <v>4</v>
      </c>
      <c r="Q319">
        <f>VLOOKUP(H319,'Product Cost Lookup'!A:D,4,FALSE)</f>
        <v>600</v>
      </c>
      <c r="R319" t="str">
        <f>VLOOKUP(H319,'Product Cost Lookup'!A:D,3,FALSE)</f>
        <v>Electronics</v>
      </c>
      <c r="S319">
        <f t="shared" si="25"/>
        <v>4200</v>
      </c>
      <c r="T319">
        <f t="shared" si="26"/>
        <v>2400</v>
      </c>
      <c r="U319">
        <f t="shared" si="27"/>
        <v>1800</v>
      </c>
      <c r="V319" s="3">
        <f t="shared" si="28"/>
        <v>0.42857142857142855</v>
      </c>
      <c r="W319" t="str">
        <f t="shared" si="29"/>
        <v>Feb</v>
      </c>
    </row>
    <row r="320" spans="1:23">
      <c r="A320">
        <v>10150</v>
      </c>
      <c r="B320" s="1">
        <v>45353</v>
      </c>
      <c r="C320">
        <v>45353</v>
      </c>
      <c r="D320" t="s">
        <v>15</v>
      </c>
      <c r="E320" t="str">
        <f>IF(TRIM(D320)="","Unknown",PROPER(TRIM(D320)))</f>
        <v>Mombasa</v>
      </c>
      <c r="F320" t="s">
        <v>52</v>
      </c>
      <c r="G320" t="str">
        <f>PROPER(TRIM(F320))</f>
        <v>Faith Wanjiru</v>
      </c>
      <c r="H320" t="s">
        <v>65</v>
      </c>
      <c r="I320" t="s">
        <v>73</v>
      </c>
      <c r="J320" t="str">
        <f>PROPER(TRIM(I320))</f>
        <v>Mosquito Net - Family Size</v>
      </c>
      <c r="K320">
        <v>4</v>
      </c>
      <c r="L320">
        <f>IF(K320="",0,K320)</f>
        <v>4</v>
      </c>
      <c r="M320">
        <v>750</v>
      </c>
      <c r="N320">
        <f>IF(M320="",0,M320)</f>
        <v>750</v>
      </c>
      <c r="O320" t="str">
        <f>IF(L320&lt;0,"NEGATIVE QUANTITY","")</f>
        <v/>
      </c>
      <c r="P320">
        <f t="shared" si="24"/>
        <v>4</v>
      </c>
      <c r="Q320">
        <f>VLOOKUP(H320,'Product Cost Lookup'!A:D,4,FALSE)</f>
        <v>400</v>
      </c>
      <c r="R320" t="str">
        <f>VLOOKUP(H320,'Product Cost Lookup'!A:D,3,FALSE)</f>
        <v>Household</v>
      </c>
      <c r="S320">
        <f t="shared" si="25"/>
        <v>3000</v>
      </c>
      <c r="T320">
        <f t="shared" si="26"/>
        <v>1600</v>
      </c>
      <c r="U320">
        <f t="shared" si="27"/>
        <v>1400</v>
      </c>
      <c r="V320" s="3">
        <f t="shared" si="28"/>
        <v>0.46666666666666667</v>
      </c>
      <c r="W320" t="str">
        <f t="shared" si="29"/>
        <v>Mar</v>
      </c>
    </row>
    <row r="321" spans="1:23">
      <c r="A321">
        <v>10056</v>
      </c>
      <c r="B321" s="1">
        <v>45333</v>
      </c>
      <c r="C321">
        <v>45333</v>
      </c>
      <c r="D321" t="s">
        <v>29</v>
      </c>
      <c r="E321" t="str">
        <f>IF(TRIM(D321)="","Unknown",PROPER(TRIM(D321)))</f>
        <v>Thika</v>
      </c>
      <c r="F321" t="s">
        <v>20</v>
      </c>
      <c r="G321" t="str">
        <f>PROPER(TRIM(F321))</f>
        <v>Grace Achieng</v>
      </c>
      <c r="H321" t="s">
        <v>55</v>
      </c>
      <c r="I321" t="s">
        <v>56</v>
      </c>
      <c r="J321" t="str">
        <f>PROPER(TRIM(I321))</f>
        <v>Led Bulb 9W (Pack Of 4)</v>
      </c>
      <c r="K321">
        <v>3</v>
      </c>
      <c r="L321">
        <f>IF(K321="",0,K321)</f>
        <v>3</v>
      </c>
      <c r="M321">
        <v>780</v>
      </c>
      <c r="N321">
        <f>IF(M321="",0,M321)</f>
        <v>780</v>
      </c>
      <c r="O321" t="str">
        <f>IF(L321&lt;0,"NEGATIVE QUANTITY","")</f>
        <v/>
      </c>
      <c r="P321">
        <f t="shared" si="24"/>
        <v>3</v>
      </c>
      <c r="Q321">
        <f>VLOOKUP(H321,'Product Cost Lookup'!A:D,4,FALSE)</f>
        <v>480</v>
      </c>
      <c r="R321" t="str">
        <f>VLOOKUP(H321,'Product Cost Lookup'!A:D,3,FALSE)</f>
        <v>Electronics</v>
      </c>
      <c r="S321">
        <f t="shared" si="25"/>
        <v>2340</v>
      </c>
      <c r="T321">
        <f t="shared" si="26"/>
        <v>1440</v>
      </c>
      <c r="U321">
        <f t="shared" si="27"/>
        <v>900</v>
      </c>
      <c r="V321" s="3">
        <f t="shared" si="28"/>
        <v>0.38461538461538464</v>
      </c>
      <c r="W321" t="str">
        <f t="shared" si="29"/>
        <v>Feb</v>
      </c>
    </row>
    <row r="322" spans="1:23">
      <c r="A322">
        <v>10185</v>
      </c>
      <c r="B322" t="s">
        <v>181</v>
      </c>
      <c r="C322">
        <v>45375</v>
      </c>
      <c r="D322" t="s">
        <v>35</v>
      </c>
      <c r="E322" t="str">
        <f>IF(TRIM(D322)="","Unknown",PROPER(TRIM(D322)))</f>
        <v>Kisumu</v>
      </c>
      <c r="F322" t="s">
        <v>122</v>
      </c>
      <c r="G322" t="str">
        <f>PROPER(TRIM(F322))</f>
        <v>Peter Otieno</v>
      </c>
      <c r="H322" t="s">
        <v>55</v>
      </c>
      <c r="I322" t="s">
        <v>56</v>
      </c>
      <c r="J322" t="str">
        <f>PROPER(TRIM(I322))</f>
        <v>Led Bulb 9W (Pack Of 4)</v>
      </c>
      <c r="K322">
        <v>5</v>
      </c>
      <c r="L322">
        <f>IF(K322="",0,K322)</f>
        <v>5</v>
      </c>
      <c r="M322">
        <v>730</v>
      </c>
      <c r="N322">
        <f>IF(M322="",0,M322)</f>
        <v>730</v>
      </c>
      <c r="O322" t="str">
        <f>IF(L322&lt;0,"NEGATIVE QUANTITY","")</f>
        <v/>
      </c>
      <c r="P322">
        <f t="shared" ref="P322:P341" si="30">ABS(L322)</f>
        <v>5</v>
      </c>
      <c r="Q322">
        <f>VLOOKUP(H322,'Product Cost Lookup'!A:D,4,FALSE)</f>
        <v>480</v>
      </c>
      <c r="R322" t="str">
        <f>VLOOKUP(H322,'Product Cost Lookup'!A:D,3,FALSE)</f>
        <v>Electronics</v>
      </c>
      <c r="S322">
        <f t="shared" ref="S322:S341" si="31">P322*N322</f>
        <v>3650</v>
      </c>
      <c r="T322">
        <f t="shared" ref="T322:T341" si="32">P322*Q322</f>
        <v>2400</v>
      </c>
      <c r="U322">
        <f t="shared" si="27"/>
        <v>1250</v>
      </c>
      <c r="V322" s="3">
        <f t="shared" si="28"/>
        <v>0.34246575342465752</v>
      </c>
      <c r="W322" t="str">
        <f t="shared" si="29"/>
        <v>Mar</v>
      </c>
    </row>
    <row r="323" spans="1:23">
      <c r="A323">
        <v>10199</v>
      </c>
      <c r="B323" s="2">
        <v>45317</v>
      </c>
      <c r="C323">
        <v>45317</v>
      </c>
      <c r="D323" t="s">
        <v>35</v>
      </c>
      <c r="E323" t="str">
        <f>IF(TRIM(D323)="","Unknown",PROPER(TRIM(D323)))</f>
        <v>Kisumu</v>
      </c>
      <c r="F323" t="s">
        <v>46</v>
      </c>
      <c r="G323" t="str">
        <f>PROPER(TRIM(F323))</f>
        <v>Samuel Kiptoo</v>
      </c>
      <c r="H323" t="s">
        <v>30</v>
      </c>
      <c r="I323" t="s">
        <v>140</v>
      </c>
      <c r="J323" t="str">
        <f>PROPER(TRIM(I323))</f>
        <v>Garden Hose 20M</v>
      </c>
      <c r="K323">
        <v>15</v>
      </c>
      <c r="L323">
        <f>IF(K323="",0,K323)</f>
        <v>15</v>
      </c>
      <c r="M323">
        <v>1700</v>
      </c>
      <c r="N323">
        <f>IF(M323="",0,M323)</f>
        <v>1700</v>
      </c>
      <c r="O323" t="str">
        <f>IF(L323&lt;0,"NEGATIVE QUANTITY","")</f>
        <v/>
      </c>
      <c r="P323">
        <f t="shared" si="30"/>
        <v>15</v>
      </c>
      <c r="Q323">
        <f>VLOOKUP(H323,'Product Cost Lookup'!A:D,4,FALSE)</f>
        <v>1100</v>
      </c>
      <c r="R323" t="str">
        <f>VLOOKUP(H323,'Product Cost Lookup'!A:D,3,FALSE)</f>
        <v>Hardware</v>
      </c>
      <c r="S323">
        <f t="shared" si="31"/>
        <v>25500</v>
      </c>
      <c r="T323">
        <f t="shared" si="32"/>
        <v>16500</v>
      </c>
      <c r="U323">
        <f t="shared" ref="U323:U341" si="33">S323-T323</f>
        <v>9000</v>
      </c>
      <c r="V323" s="3">
        <f t="shared" ref="V323:V341" si="34">IF(S323=0,0,U323/S323)</f>
        <v>0.35294117647058826</v>
      </c>
      <c r="W323" t="str">
        <f t="shared" ref="W323:W341" si="35">TEXT(C323,"mmm")</f>
        <v>Jan</v>
      </c>
    </row>
    <row r="324" spans="1:23">
      <c r="A324">
        <v>10035</v>
      </c>
      <c r="B324" s="1">
        <v>45332</v>
      </c>
      <c r="C324">
        <v>45332</v>
      </c>
      <c r="D324" t="s">
        <v>100</v>
      </c>
      <c r="E324" t="str">
        <f>IF(TRIM(D324)="","Unknown",PROPER(TRIM(D324)))</f>
        <v>Eldoret</v>
      </c>
      <c r="F324" t="s">
        <v>16</v>
      </c>
      <c r="G324" t="str">
        <f>PROPER(TRIM(F324))</f>
        <v>Grace Achieng</v>
      </c>
      <c r="H324" t="s">
        <v>53</v>
      </c>
      <c r="I324" t="s">
        <v>72</v>
      </c>
      <c r="J324" t="str">
        <f>PROPER(TRIM(I324))</f>
        <v>Rechargeable Torch Rt-10</v>
      </c>
      <c r="K324">
        <v>3</v>
      </c>
      <c r="L324">
        <f>IF(K324="",0,K324)</f>
        <v>3</v>
      </c>
      <c r="M324">
        <v>950</v>
      </c>
      <c r="N324">
        <f>IF(M324="",0,M324)</f>
        <v>950</v>
      </c>
      <c r="O324" t="str">
        <f>IF(L324&lt;0,"NEGATIVE QUANTITY","")</f>
        <v/>
      </c>
      <c r="P324">
        <f t="shared" si="30"/>
        <v>3</v>
      </c>
      <c r="Q324">
        <f>VLOOKUP(H324,'Product Cost Lookup'!A:D,4,FALSE)</f>
        <v>600</v>
      </c>
      <c r="R324" t="str">
        <f>VLOOKUP(H324,'Product Cost Lookup'!A:D,3,FALSE)</f>
        <v>Electronics</v>
      </c>
      <c r="S324">
        <f t="shared" si="31"/>
        <v>2850</v>
      </c>
      <c r="T324">
        <f t="shared" si="32"/>
        <v>1800</v>
      </c>
      <c r="U324">
        <f t="shared" si="33"/>
        <v>1050</v>
      </c>
      <c r="V324" s="3">
        <f t="shared" si="34"/>
        <v>0.36842105263157893</v>
      </c>
      <c r="W324" t="str">
        <f t="shared" si="35"/>
        <v>Feb</v>
      </c>
    </row>
    <row r="325" spans="1:23">
      <c r="A325">
        <v>10005</v>
      </c>
      <c r="B325" t="s">
        <v>166</v>
      </c>
      <c r="C325">
        <v>45318</v>
      </c>
      <c r="D325" t="s">
        <v>101</v>
      </c>
      <c r="E325" t="str">
        <f>IF(TRIM(D325)="","Unknown",PROPER(TRIM(D325)))</f>
        <v>Thika</v>
      </c>
      <c r="F325" t="s">
        <v>46</v>
      </c>
      <c r="G325" t="str">
        <f>PROPER(TRIM(F325))</f>
        <v>Samuel Kiptoo</v>
      </c>
      <c r="H325" t="s">
        <v>30</v>
      </c>
      <c r="I325" t="s">
        <v>31</v>
      </c>
      <c r="J325" t="str">
        <f>PROPER(TRIM(I325))</f>
        <v>Garden Hose 20M</v>
      </c>
      <c r="K325">
        <v>20</v>
      </c>
      <c r="L325">
        <f>IF(K325="",0,K325)</f>
        <v>20</v>
      </c>
      <c r="M325">
        <v>1650</v>
      </c>
      <c r="N325">
        <f>IF(M325="",0,M325)</f>
        <v>1650</v>
      </c>
      <c r="O325" t="str">
        <f>IF(L325&lt;0,"NEGATIVE QUANTITY","")</f>
        <v/>
      </c>
      <c r="P325">
        <f t="shared" si="30"/>
        <v>20</v>
      </c>
      <c r="Q325">
        <f>VLOOKUP(H325,'Product Cost Lookup'!A:D,4,FALSE)</f>
        <v>1100</v>
      </c>
      <c r="R325" t="str">
        <f>VLOOKUP(H325,'Product Cost Lookup'!A:D,3,FALSE)</f>
        <v>Hardware</v>
      </c>
      <c r="S325">
        <f t="shared" si="31"/>
        <v>33000</v>
      </c>
      <c r="T325">
        <f t="shared" si="32"/>
        <v>22000</v>
      </c>
      <c r="U325">
        <f t="shared" si="33"/>
        <v>11000</v>
      </c>
      <c r="V325" s="3">
        <f t="shared" si="34"/>
        <v>0.33333333333333331</v>
      </c>
      <c r="W325" t="str">
        <f t="shared" si="35"/>
        <v>Jan</v>
      </c>
    </row>
    <row r="326" spans="1:23">
      <c r="A326">
        <v>10336</v>
      </c>
      <c r="B326" s="1">
        <v>45369</v>
      </c>
      <c r="C326">
        <v>45369</v>
      </c>
      <c r="D326" t="s">
        <v>74</v>
      </c>
      <c r="E326" t="str">
        <f>IF(TRIM(D326)="","Unknown",PROPER(TRIM(D326)))</f>
        <v>Nairobi</v>
      </c>
      <c r="F326" t="s">
        <v>105</v>
      </c>
      <c r="G326" t="str">
        <f>PROPER(TRIM(F326))</f>
        <v>Brian Mutua</v>
      </c>
      <c r="H326" t="s">
        <v>17</v>
      </c>
      <c r="I326" t="s">
        <v>18</v>
      </c>
      <c r="J326" t="str">
        <f>PROPER(TRIM(I326))</f>
        <v>20L Jerrycan - Blue</v>
      </c>
      <c r="K326">
        <v>5</v>
      </c>
      <c r="L326">
        <f>IF(K326="",0,K326)</f>
        <v>5</v>
      </c>
      <c r="M326">
        <v>650</v>
      </c>
      <c r="N326">
        <f>IF(M326="",0,M326)</f>
        <v>650</v>
      </c>
      <c r="O326" t="str">
        <f>IF(L326&lt;0,"NEGATIVE QUANTITY","")</f>
        <v/>
      </c>
      <c r="P326">
        <f t="shared" si="30"/>
        <v>5</v>
      </c>
      <c r="Q326">
        <f>VLOOKUP(H326,'Product Cost Lookup'!A:D,4,FALSE)</f>
        <v>350</v>
      </c>
      <c r="R326" t="str">
        <f>VLOOKUP(H326,'Product Cost Lookup'!A:D,3,FALSE)</f>
        <v>Household</v>
      </c>
      <c r="S326">
        <f t="shared" si="31"/>
        <v>3250</v>
      </c>
      <c r="T326">
        <f t="shared" si="32"/>
        <v>1750</v>
      </c>
      <c r="U326">
        <f t="shared" si="33"/>
        <v>1500</v>
      </c>
      <c r="V326" s="3">
        <f t="shared" si="34"/>
        <v>0.46153846153846156</v>
      </c>
      <c r="W326" t="str">
        <f t="shared" si="35"/>
        <v>Mar</v>
      </c>
    </row>
    <row r="327" spans="1:23">
      <c r="A327">
        <v>10239</v>
      </c>
      <c r="B327" s="1">
        <v>45317</v>
      </c>
      <c r="C327">
        <v>45317</v>
      </c>
      <c r="D327" t="s">
        <v>35</v>
      </c>
      <c r="E327" t="str">
        <f>IF(TRIM(D327)="","Unknown",PROPER(TRIM(D327)))</f>
        <v>Kisumu</v>
      </c>
      <c r="F327" t="s">
        <v>48</v>
      </c>
      <c r="G327" t="str">
        <f>PROPER(TRIM(F327))</f>
        <v>Brian Mutua</v>
      </c>
      <c r="H327" t="s">
        <v>90</v>
      </c>
      <c r="I327" t="s">
        <v>91</v>
      </c>
      <c r="J327" t="str">
        <f>PROPER(TRIM(I327))</f>
        <v>Wheelbarrow Heavy Duty</v>
      </c>
      <c r="K327">
        <v>10</v>
      </c>
      <c r="L327">
        <f>IF(K327="",0,K327)</f>
        <v>10</v>
      </c>
      <c r="M327">
        <v>5200</v>
      </c>
      <c r="N327">
        <f>IF(M327="",0,M327)</f>
        <v>5200</v>
      </c>
      <c r="O327" t="str">
        <f>IF(L327&lt;0,"NEGATIVE QUANTITY","")</f>
        <v/>
      </c>
      <c r="P327">
        <f t="shared" si="30"/>
        <v>10</v>
      </c>
      <c r="Q327">
        <f>VLOOKUP(H327,'Product Cost Lookup'!A:D,4,FALSE)</f>
        <v>3500</v>
      </c>
      <c r="R327" t="str">
        <f>VLOOKUP(H327,'Product Cost Lookup'!A:D,3,FALSE)</f>
        <v>Hardware</v>
      </c>
      <c r="S327">
        <f t="shared" si="31"/>
        <v>52000</v>
      </c>
      <c r="T327">
        <f t="shared" si="32"/>
        <v>35000</v>
      </c>
      <c r="U327">
        <f t="shared" si="33"/>
        <v>17000</v>
      </c>
      <c r="V327" s="3">
        <f t="shared" si="34"/>
        <v>0.32692307692307693</v>
      </c>
      <c r="W327" t="str">
        <f t="shared" si="35"/>
        <v>Jan</v>
      </c>
    </row>
    <row r="328" spans="1:23">
      <c r="A328">
        <v>10028</v>
      </c>
      <c r="B328" s="1">
        <v>45379</v>
      </c>
      <c r="C328">
        <v>45379</v>
      </c>
      <c r="D328" t="s">
        <v>40</v>
      </c>
      <c r="E328" t="str">
        <f>IF(TRIM(D328)="","Unknown",PROPER(TRIM(D328)))</f>
        <v>Thika</v>
      </c>
      <c r="F328" t="s">
        <v>14</v>
      </c>
      <c r="G328" t="str">
        <f>PROPER(TRIM(F328))</f>
        <v>Faith Wanjiru</v>
      </c>
      <c r="H328" t="s">
        <v>25</v>
      </c>
      <c r="I328" t="s">
        <v>75</v>
      </c>
      <c r="J328" t="str">
        <f>PROPER(TRIM(I328))</f>
        <v>Plastic Storage Basket L</v>
      </c>
      <c r="K328">
        <v>8</v>
      </c>
      <c r="L328">
        <f>IF(K328="",0,K328)</f>
        <v>8</v>
      </c>
      <c r="M328">
        <v>370</v>
      </c>
      <c r="N328">
        <f>IF(M328="",0,M328)</f>
        <v>370</v>
      </c>
      <c r="O328" t="str">
        <f>IF(L328&lt;0,"NEGATIVE QUANTITY","")</f>
        <v/>
      </c>
      <c r="P328">
        <f t="shared" si="30"/>
        <v>8</v>
      </c>
      <c r="Q328">
        <f>VLOOKUP(H328,'Product Cost Lookup'!A:D,4,FALSE)</f>
        <v>250</v>
      </c>
      <c r="R328" t="str">
        <f>VLOOKUP(H328,'Product Cost Lookup'!A:D,3,FALSE)</f>
        <v>Household</v>
      </c>
      <c r="S328">
        <f t="shared" si="31"/>
        <v>2960</v>
      </c>
      <c r="T328">
        <f t="shared" si="32"/>
        <v>2000</v>
      </c>
      <c r="U328">
        <f t="shared" si="33"/>
        <v>960</v>
      </c>
      <c r="V328" s="3">
        <f t="shared" si="34"/>
        <v>0.32432432432432434</v>
      </c>
      <c r="W328" t="str">
        <f t="shared" si="35"/>
        <v>Mar</v>
      </c>
    </row>
    <row r="329" spans="1:23">
      <c r="A329">
        <v>10139</v>
      </c>
      <c r="B329" s="1">
        <v>45319</v>
      </c>
      <c r="C329">
        <v>45319</v>
      </c>
      <c r="D329" t="s">
        <v>106</v>
      </c>
      <c r="E329" t="str">
        <f>IF(TRIM(D329)="","Unknown",PROPER(TRIM(D329)))</f>
        <v>Mombasa</v>
      </c>
      <c r="F329" t="s">
        <v>139</v>
      </c>
      <c r="G329" t="str">
        <f>PROPER(TRIM(F329))</f>
        <v>Grace Achieng</v>
      </c>
      <c r="H329" t="s">
        <v>111</v>
      </c>
      <c r="I329" t="s">
        <v>112</v>
      </c>
      <c r="J329" t="str">
        <f>PROPER(TRIM(I329))</f>
        <v>Thermos Flask 1L</v>
      </c>
      <c r="K329">
        <v>10</v>
      </c>
      <c r="L329">
        <f>IF(K329="",0,K329)</f>
        <v>10</v>
      </c>
      <c r="M329">
        <v>1000</v>
      </c>
      <c r="N329">
        <f>IF(M329="",0,M329)</f>
        <v>1000</v>
      </c>
      <c r="O329" t="str">
        <f>IF(L329&lt;0,"NEGATIVE QUANTITY","")</f>
        <v/>
      </c>
      <c r="P329">
        <f t="shared" si="30"/>
        <v>10</v>
      </c>
      <c r="Q329">
        <f>VLOOKUP(H329,'Product Cost Lookup'!A:D,4,FALSE)</f>
        <v>550</v>
      </c>
      <c r="R329" t="str">
        <f>VLOOKUP(H329,'Product Cost Lookup'!A:D,3,FALSE)</f>
        <v>Kitchenware</v>
      </c>
      <c r="S329">
        <f t="shared" si="31"/>
        <v>10000</v>
      </c>
      <c r="T329">
        <f t="shared" si="32"/>
        <v>5500</v>
      </c>
      <c r="U329">
        <f t="shared" si="33"/>
        <v>4500</v>
      </c>
      <c r="V329" s="3">
        <f t="shared" si="34"/>
        <v>0.45</v>
      </c>
      <c r="W329" t="str">
        <f t="shared" si="35"/>
        <v>Jan</v>
      </c>
    </row>
    <row r="330" spans="1:23">
      <c r="A330">
        <v>10317</v>
      </c>
      <c r="B330" s="1">
        <v>45372</v>
      </c>
      <c r="C330">
        <v>45372</v>
      </c>
      <c r="D330" t="s">
        <v>8</v>
      </c>
      <c r="E330" t="str">
        <f>IF(TRIM(D330)="","Unknown",PROPER(TRIM(D330)))</f>
        <v>Mombasa</v>
      </c>
      <c r="F330" t="s">
        <v>46</v>
      </c>
      <c r="G330" t="str">
        <f>PROPER(TRIM(F330))</f>
        <v>Samuel Kiptoo</v>
      </c>
      <c r="H330" t="s">
        <v>93</v>
      </c>
      <c r="I330" t="s">
        <v>94</v>
      </c>
      <c r="J330" t="str">
        <f>PROPER(TRIM(I330))</f>
        <v>Non-Stick Frying Pan 28Cm</v>
      </c>
      <c r="K330">
        <v>20</v>
      </c>
      <c r="L330">
        <f>IF(K330="",0,K330)</f>
        <v>20</v>
      </c>
      <c r="M330">
        <v>1200</v>
      </c>
      <c r="N330">
        <f>IF(M330="",0,M330)</f>
        <v>1200</v>
      </c>
      <c r="O330" t="str">
        <f>IF(L330&lt;0,"NEGATIVE QUANTITY","")</f>
        <v/>
      </c>
      <c r="P330">
        <f t="shared" si="30"/>
        <v>20</v>
      </c>
      <c r="Q330">
        <f>VLOOKUP(H330,'Product Cost Lookup'!A:D,4,FALSE)</f>
        <v>700</v>
      </c>
      <c r="R330" t="str">
        <f>VLOOKUP(H330,'Product Cost Lookup'!A:D,3,FALSE)</f>
        <v>Kitchenware</v>
      </c>
      <c r="S330">
        <f t="shared" si="31"/>
        <v>24000</v>
      </c>
      <c r="T330">
        <f t="shared" si="32"/>
        <v>14000</v>
      </c>
      <c r="U330">
        <f t="shared" si="33"/>
        <v>10000</v>
      </c>
      <c r="V330" s="3">
        <f t="shared" si="34"/>
        <v>0.41666666666666669</v>
      </c>
      <c r="W330" t="str">
        <f t="shared" si="35"/>
        <v>Mar</v>
      </c>
    </row>
    <row r="331" spans="1:23">
      <c r="A331">
        <v>10103</v>
      </c>
      <c r="B331" s="1">
        <v>45302</v>
      </c>
      <c r="C331">
        <v>45302</v>
      </c>
      <c r="D331" t="s">
        <v>74</v>
      </c>
      <c r="E331" t="str">
        <f>IF(TRIM(D331)="","Unknown",PROPER(TRIM(D331)))</f>
        <v>Nairobi</v>
      </c>
      <c r="F331" t="s">
        <v>109</v>
      </c>
      <c r="G331" t="str">
        <f>PROPER(TRIM(F331))</f>
        <v>Samuel Kiptoo</v>
      </c>
      <c r="H331" t="s">
        <v>77</v>
      </c>
      <c r="I331" t="s">
        <v>78</v>
      </c>
      <c r="J331" t="str">
        <f>PROPER(TRIM(I331))</f>
        <v>Cooking Gas Burner Cb-2</v>
      </c>
      <c r="K331">
        <v>3</v>
      </c>
      <c r="L331">
        <f>IF(K331="",0,K331)</f>
        <v>3</v>
      </c>
      <c r="M331">
        <v>1950</v>
      </c>
      <c r="N331">
        <f>IF(M331="",0,M331)</f>
        <v>1950</v>
      </c>
      <c r="O331" t="str">
        <f>IF(L331&lt;0,"NEGATIVE QUANTITY","")</f>
        <v/>
      </c>
      <c r="P331">
        <f t="shared" si="30"/>
        <v>3</v>
      </c>
      <c r="Q331">
        <f>VLOOKUP(H331,'Product Cost Lookup'!A:D,4,FALSE)</f>
        <v>1200</v>
      </c>
      <c r="R331" t="str">
        <f>VLOOKUP(H331,'Product Cost Lookup'!A:D,3,FALSE)</f>
        <v>Kitchenware</v>
      </c>
      <c r="S331">
        <f t="shared" si="31"/>
        <v>5850</v>
      </c>
      <c r="T331">
        <f t="shared" si="32"/>
        <v>3600</v>
      </c>
      <c r="U331">
        <f t="shared" si="33"/>
        <v>2250</v>
      </c>
      <c r="V331" s="3">
        <f t="shared" si="34"/>
        <v>0.38461538461538464</v>
      </c>
      <c r="W331" t="str">
        <f t="shared" si="35"/>
        <v>Jan</v>
      </c>
    </row>
    <row r="332" spans="1:23">
      <c r="A332">
        <v>10146</v>
      </c>
      <c r="B332" s="1">
        <v>45598</v>
      </c>
      <c r="C332">
        <v>45598</v>
      </c>
      <c r="D332" t="s">
        <v>15</v>
      </c>
      <c r="E332" t="str">
        <f>IF(TRIM(D332)="","Unknown",PROPER(TRIM(D332)))</f>
        <v>Mombasa</v>
      </c>
      <c r="F332" t="s">
        <v>46</v>
      </c>
      <c r="G332" t="str">
        <f>PROPER(TRIM(F332))</f>
        <v>Samuel Kiptoo</v>
      </c>
      <c r="H332" t="s">
        <v>21</v>
      </c>
      <c r="I332" t="s">
        <v>22</v>
      </c>
      <c r="J332" t="str">
        <f>PROPER(TRIM(I332))</f>
        <v>Water Dispenser Stand</v>
      </c>
      <c r="K332">
        <v>3</v>
      </c>
      <c r="L332">
        <f>IF(K332="",0,K332)</f>
        <v>3</v>
      </c>
      <c r="M332">
        <v>2400</v>
      </c>
      <c r="N332">
        <f>IF(M332="",0,M332)</f>
        <v>2400</v>
      </c>
      <c r="O332" t="str">
        <f>IF(L332&lt;0,"NEGATIVE QUANTITY","")</f>
        <v/>
      </c>
      <c r="P332">
        <f t="shared" si="30"/>
        <v>3</v>
      </c>
      <c r="Q332">
        <f>VLOOKUP(H332,'Product Cost Lookup'!A:D,4,FALSE)</f>
        <v>1500</v>
      </c>
      <c r="R332" t="str">
        <f>VLOOKUP(H332,'Product Cost Lookup'!A:D,3,FALSE)</f>
        <v>Household</v>
      </c>
      <c r="S332">
        <f t="shared" si="31"/>
        <v>7200</v>
      </c>
      <c r="T332">
        <f t="shared" si="32"/>
        <v>4500</v>
      </c>
      <c r="U332">
        <f t="shared" si="33"/>
        <v>2700</v>
      </c>
      <c r="V332" s="3">
        <f t="shared" si="34"/>
        <v>0.375</v>
      </c>
      <c r="W332" t="str">
        <f t="shared" si="35"/>
        <v>Nov</v>
      </c>
    </row>
    <row r="333" spans="1:23">
      <c r="A333">
        <v>10031</v>
      </c>
      <c r="B333" s="1">
        <v>45376</v>
      </c>
      <c r="C333">
        <v>45376</v>
      </c>
      <c r="D333" t="s">
        <v>101</v>
      </c>
      <c r="E333" t="str">
        <f>IF(TRIM(D333)="","Unknown",PROPER(TRIM(D333)))</f>
        <v>Thika</v>
      </c>
      <c r="F333" t="s">
        <v>24</v>
      </c>
      <c r="G333" t="str">
        <f>PROPER(TRIM(F333))</f>
        <v>Mercy Njeri</v>
      </c>
      <c r="H333" t="s">
        <v>50</v>
      </c>
      <c r="I333" t="s">
        <v>51</v>
      </c>
      <c r="J333" t="str">
        <f>PROPER(TRIM(I333))</f>
        <v>Solar Lantern Sl200</v>
      </c>
      <c r="K333">
        <v>4</v>
      </c>
      <c r="L333">
        <f>IF(K333="",0,K333)</f>
        <v>4</v>
      </c>
      <c r="M333">
        <v>1450</v>
      </c>
      <c r="N333">
        <f>IF(M333="",0,M333)</f>
        <v>1450</v>
      </c>
      <c r="O333" t="str">
        <f>IF(L333&lt;0,"NEGATIVE QUANTITY","")</f>
        <v/>
      </c>
      <c r="P333">
        <f t="shared" si="30"/>
        <v>4</v>
      </c>
      <c r="Q333">
        <f>VLOOKUP(H333,'Product Cost Lookup'!A:D,4,FALSE)</f>
        <v>900</v>
      </c>
      <c r="R333" t="str">
        <f>VLOOKUP(H333,'Product Cost Lookup'!A:D,3,FALSE)</f>
        <v>Electronics</v>
      </c>
      <c r="S333">
        <f t="shared" si="31"/>
        <v>5800</v>
      </c>
      <c r="T333">
        <f t="shared" si="32"/>
        <v>3600</v>
      </c>
      <c r="U333">
        <f t="shared" si="33"/>
        <v>2200</v>
      </c>
      <c r="V333" s="3">
        <f t="shared" si="34"/>
        <v>0.37931034482758619</v>
      </c>
      <c r="W333" t="str">
        <f t="shared" si="35"/>
        <v>Mar</v>
      </c>
    </row>
    <row r="334" spans="1:23">
      <c r="A334">
        <v>10088</v>
      </c>
      <c r="B334" s="1">
        <v>45356</v>
      </c>
      <c r="C334">
        <v>45356</v>
      </c>
      <c r="D334" t="s">
        <v>59</v>
      </c>
      <c r="E334" t="str">
        <f>IF(TRIM(D334)="","Unknown",PROPER(TRIM(D334)))</f>
        <v>Eldoret</v>
      </c>
      <c r="F334" t="s">
        <v>24</v>
      </c>
      <c r="G334" t="str">
        <f>PROPER(TRIM(F334))</f>
        <v>Mercy Njeri</v>
      </c>
      <c r="H334" t="s">
        <v>50</v>
      </c>
      <c r="I334" t="s">
        <v>69</v>
      </c>
      <c r="J334" t="str">
        <f>PROPER(TRIM(I334))</f>
        <v>Solar Lantern Sl-200</v>
      </c>
      <c r="K334">
        <v>8</v>
      </c>
      <c r="L334">
        <f>IF(K334="",0,K334)</f>
        <v>8</v>
      </c>
      <c r="M334">
        <v>1400</v>
      </c>
      <c r="N334">
        <f>IF(M334="",0,M334)</f>
        <v>1400</v>
      </c>
      <c r="O334" t="str">
        <f>IF(L334&lt;0,"NEGATIVE QUANTITY","")</f>
        <v/>
      </c>
      <c r="P334">
        <f t="shared" si="30"/>
        <v>8</v>
      </c>
      <c r="Q334">
        <f>VLOOKUP(H334,'Product Cost Lookup'!A:D,4,FALSE)</f>
        <v>900</v>
      </c>
      <c r="R334" t="str">
        <f>VLOOKUP(H334,'Product Cost Lookup'!A:D,3,FALSE)</f>
        <v>Electronics</v>
      </c>
      <c r="S334">
        <f t="shared" si="31"/>
        <v>11200</v>
      </c>
      <c r="T334">
        <f t="shared" si="32"/>
        <v>7200</v>
      </c>
      <c r="U334">
        <f t="shared" si="33"/>
        <v>4000</v>
      </c>
      <c r="V334" s="3">
        <f t="shared" si="34"/>
        <v>0.35714285714285715</v>
      </c>
      <c r="W334" t="str">
        <f t="shared" si="35"/>
        <v>Mar</v>
      </c>
    </row>
    <row r="335" spans="1:23">
      <c r="A335">
        <v>10131</v>
      </c>
      <c r="B335" s="1">
        <v>45342</v>
      </c>
      <c r="C335">
        <v>45342</v>
      </c>
      <c r="D335" t="s">
        <v>35</v>
      </c>
      <c r="E335" t="str">
        <f>IF(TRIM(D335)="","Unknown",PROPER(TRIM(D335)))</f>
        <v>Kisumu</v>
      </c>
      <c r="F335" t="s">
        <v>68</v>
      </c>
      <c r="G335" t="str">
        <f>PROPER(TRIM(F335))</f>
        <v>Peter Otieno</v>
      </c>
      <c r="H335" t="s">
        <v>93</v>
      </c>
      <c r="I335" t="s">
        <v>94</v>
      </c>
      <c r="J335" t="str">
        <f>PROPER(TRIM(I335))</f>
        <v>Non-Stick Frying Pan 28Cm</v>
      </c>
      <c r="K335">
        <v>1</v>
      </c>
      <c r="L335">
        <f>IF(K335="",0,K335)</f>
        <v>1</v>
      </c>
      <c r="M335">
        <v>1100</v>
      </c>
      <c r="N335">
        <f>IF(M335="",0,M335)</f>
        <v>1100</v>
      </c>
      <c r="O335" t="str">
        <f>IF(L335&lt;0,"NEGATIVE QUANTITY","")</f>
        <v/>
      </c>
      <c r="P335">
        <f t="shared" si="30"/>
        <v>1</v>
      </c>
      <c r="Q335">
        <f>VLOOKUP(H335,'Product Cost Lookup'!A:D,4,FALSE)</f>
        <v>700</v>
      </c>
      <c r="R335" t="str">
        <f>VLOOKUP(H335,'Product Cost Lookup'!A:D,3,FALSE)</f>
        <v>Kitchenware</v>
      </c>
      <c r="S335">
        <f t="shared" si="31"/>
        <v>1100</v>
      </c>
      <c r="T335">
        <f t="shared" si="32"/>
        <v>700</v>
      </c>
      <c r="U335">
        <f t="shared" si="33"/>
        <v>400</v>
      </c>
      <c r="V335" s="3">
        <f t="shared" si="34"/>
        <v>0.36363636363636365</v>
      </c>
      <c r="W335" t="str">
        <f t="shared" si="35"/>
        <v>Feb</v>
      </c>
    </row>
    <row r="336" spans="1:23">
      <c r="A336">
        <v>10023</v>
      </c>
      <c r="B336" s="1">
        <v>45566</v>
      </c>
      <c r="C336">
        <v>45566</v>
      </c>
      <c r="D336" t="s">
        <v>40</v>
      </c>
      <c r="E336" t="str">
        <f>IF(TRIM(D336)="","Unknown",PROPER(TRIM(D336)))</f>
        <v>Thika</v>
      </c>
      <c r="F336" t="s">
        <v>36</v>
      </c>
      <c r="G336" t="str">
        <f>PROPER(TRIM(F336))</f>
        <v>Peter Otieno</v>
      </c>
      <c r="H336" t="s">
        <v>111</v>
      </c>
      <c r="I336" t="s">
        <v>112</v>
      </c>
      <c r="J336" t="str">
        <f>PROPER(TRIM(I336))</f>
        <v>Thermos Flask 1L</v>
      </c>
      <c r="K336">
        <v>1</v>
      </c>
      <c r="L336">
        <f>IF(K336="",0,K336)</f>
        <v>1</v>
      </c>
      <c r="M336">
        <v>900</v>
      </c>
      <c r="N336">
        <f>IF(M336="",0,M336)</f>
        <v>900</v>
      </c>
      <c r="O336" t="str">
        <f>IF(L336&lt;0,"NEGATIVE QUANTITY","")</f>
        <v/>
      </c>
      <c r="P336">
        <f t="shared" si="30"/>
        <v>1</v>
      </c>
      <c r="Q336">
        <f>VLOOKUP(H336,'Product Cost Lookup'!A:D,4,FALSE)</f>
        <v>550</v>
      </c>
      <c r="R336" t="str">
        <f>VLOOKUP(H336,'Product Cost Lookup'!A:D,3,FALSE)</f>
        <v>Kitchenware</v>
      </c>
      <c r="S336">
        <f t="shared" si="31"/>
        <v>900</v>
      </c>
      <c r="T336">
        <f t="shared" si="32"/>
        <v>550</v>
      </c>
      <c r="U336">
        <f t="shared" si="33"/>
        <v>350</v>
      </c>
      <c r="V336" s="3">
        <f t="shared" si="34"/>
        <v>0.3888888888888889</v>
      </c>
      <c r="W336" t="str">
        <f t="shared" si="35"/>
        <v>Oct</v>
      </c>
    </row>
    <row r="337" spans="1:23">
      <c r="A337">
        <v>10270</v>
      </c>
      <c r="B337" s="1">
        <v>45295</v>
      </c>
      <c r="C337">
        <v>45295</v>
      </c>
      <c r="D337" t="s">
        <v>19</v>
      </c>
      <c r="E337" t="str">
        <f>IF(TRIM(D337)="","Unknown",PROPER(TRIM(D337)))</f>
        <v>Eldoret</v>
      </c>
      <c r="F337" t="s">
        <v>88</v>
      </c>
      <c r="G337" t="str">
        <f>PROPER(TRIM(F337))</f>
        <v>Mercy Njeri</v>
      </c>
      <c r="H337" t="s">
        <v>111</v>
      </c>
      <c r="I337" t="s">
        <v>112</v>
      </c>
      <c r="J337" t="str">
        <f>PROPER(TRIM(I337))</f>
        <v>Thermos Flask 1L</v>
      </c>
      <c r="K337">
        <v>12</v>
      </c>
      <c r="L337">
        <f>IF(K337="",0,K337)</f>
        <v>12</v>
      </c>
      <c r="M337">
        <v>950</v>
      </c>
      <c r="N337">
        <f>IF(M337="",0,M337)</f>
        <v>950</v>
      </c>
      <c r="O337" t="str">
        <f>IF(L337&lt;0,"NEGATIVE QUANTITY","")</f>
        <v/>
      </c>
      <c r="P337">
        <f t="shared" si="30"/>
        <v>12</v>
      </c>
      <c r="Q337">
        <f>VLOOKUP(H337,'Product Cost Lookup'!A:D,4,FALSE)</f>
        <v>550</v>
      </c>
      <c r="R337" t="str">
        <f>VLOOKUP(H337,'Product Cost Lookup'!A:D,3,FALSE)</f>
        <v>Kitchenware</v>
      </c>
      <c r="S337">
        <f t="shared" si="31"/>
        <v>11400</v>
      </c>
      <c r="T337">
        <f t="shared" si="32"/>
        <v>6600</v>
      </c>
      <c r="U337">
        <f t="shared" si="33"/>
        <v>4800</v>
      </c>
      <c r="V337" s="3">
        <f t="shared" si="34"/>
        <v>0.42105263157894735</v>
      </c>
      <c r="W337" t="str">
        <f t="shared" si="35"/>
        <v>Jan</v>
      </c>
    </row>
    <row r="338" spans="1:23">
      <c r="A338">
        <v>10340</v>
      </c>
      <c r="B338" s="1">
        <v>45348</v>
      </c>
      <c r="C338">
        <v>45348</v>
      </c>
      <c r="D338" t="s">
        <v>74</v>
      </c>
      <c r="E338" t="str">
        <f>IF(TRIM(D338)="","Unknown",PROPER(TRIM(D338)))</f>
        <v>Nairobi</v>
      </c>
      <c r="F338" t="s">
        <v>14</v>
      </c>
      <c r="G338" t="str">
        <f>PROPER(TRIM(F338))</f>
        <v>Faith Wanjiru</v>
      </c>
      <c r="H338" t="s">
        <v>77</v>
      </c>
      <c r="I338" t="s">
        <v>78</v>
      </c>
      <c r="J338" t="str">
        <f>PROPER(TRIM(I338))</f>
        <v>Cooking Gas Burner Cb-2</v>
      </c>
      <c r="K338">
        <v>20</v>
      </c>
      <c r="L338">
        <f>IF(K338="",0,K338)</f>
        <v>20</v>
      </c>
      <c r="M338">
        <v>1850</v>
      </c>
      <c r="N338">
        <f>IF(M338="",0,M338)</f>
        <v>1850</v>
      </c>
      <c r="O338" t="str">
        <f>IF(L338&lt;0,"NEGATIVE QUANTITY","")</f>
        <v/>
      </c>
      <c r="P338">
        <f t="shared" si="30"/>
        <v>20</v>
      </c>
      <c r="Q338">
        <f>VLOOKUP(H338,'Product Cost Lookup'!A:D,4,FALSE)</f>
        <v>1200</v>
      </c>
      <c r="R338" t="str">
        <f>VLOOKUP(H338,'Product Cost Lookup'!A:D,3,FALSE)</f>
        <v>Kitchenware</v>
      </c>
      <c r="S338">
        <f t="shared" si="31"/>
        <v>37000</v>
      </c>
      <c r="T338">
        <f t="shared" si="32"/>
        <v>24000</v>
      </c>
      <c r="U338">
        <f t="shared" si="33"/>
        <v>13000</v>
      </c>
      <c r="V338" s="3">
        <f t="shared" si="34"/>
        <v>0.35135135135135137</v>
      </c>
      <c r="W338" t="str">
        <f t="shared" si="35"/>
        <v>Feb</v>
      </c>
    </row>
    <row r="339" spans="1:23">
      <c r="A339">
        <v>10299</v>
      </c>
      <c r="B339" t="s">
        <v>182</v>
      </c>
      <c r="C339">
        <v>45314</v>
      </c>
      <c r="D339" t="s">
        <v>41</v>
      </c>
      <c r="E339" t="str">
        <f>IF(TRIM(D339)="","Unknown",PROPER(TRIM(D339)))</f>
        <v>Nakuru</v>
      </c>
      <c r="F339" t="s">
        <v>16</v>
      </c>
      <c r="G339" t="str">
        <f>PROPER(TRIM(F339))</f>
        <v>Grace Achieng</v>
      </c>
      <c r="H339" t="s">
        <v>111</v>
      </c>
      <c r="I339" t="s">
        <v>112</v>
      </c>
      <c r="J339" t="str">
        <f>PROPER(TRIM(I339))</f>
        <v>Thermos Flask 1L</v>
      </c>
      <c r="K339">
        <v>2</v>
      </c>
      <c r="L339">
        <f>IF(K339="",0,K339)</f>
        <v>2</v>
      </c>
      <c r="M339">
        <v>1000</v>
      </c>
      <c r="N339">
        <f>IF(M339="",0,M339)</f>
        <v>1000</v>
      </c>
      <c r="O339" t="str">
        <f>IF(L339&lt;0,"NEGATIVE QUANTITY","")</f>
        <v/>
      </c>
      <c r="P339">
        <f t="shared" si="30"/>
        <v>2</v>
      </c>
      <c r="Q339">
        <f>VLOOKUP(H339,'Product Cost Lookup'!A:D,4,FALSE)</f>
        <v>550</v>
      </c>
      <c r="R339" t="str">
        <f>VLOOKUP(H339,'Product Cost Lookup'!A:D,3,FALSE)</f>
        <v>Kitchenware</v>
      </c>
      <c r="S339">
        <f t="shared" si="31"/>
        <v>2000</v>
      </c>
      <c r="T339">
        <f t="shared" si="32"/>
        <v>1100</v>
      </c>
      <c r="U339">
        <f t="shared" si="33"/>
        <v>900</v>
      </c>
      <c r="V339" s="3">
        <f t="shared" si="34"/>
        <v>0.45</v>
      </c>
      <c r="W339" t="str">
        <f t="shared" si="35"/>
        <v>Jan</v>
      </c>
    </row>
    <row r="340" spans="1:23">
      <c r="A340">
        <v>10193</v>
      </c>
      <c r="B340" s="1">
        <v>45360</v>
      </c>
      <c r="C340">
        <v>45360</v>
      </c>
      <c r="D340" t="s">
        <v>23</v>
      </c>
      <c r="E340" t="str">
        <f>IF(TRIM(D340)="","Unknown",PROPER(TRIM(D340)))</f>
        <v>Kisumu</v>
      </c>
      <c r="F340" t="s">
        <v>48</v>
      </c>
      <c r="G340" t="str">
        <f>PROPER(TRIM(F340))</f>
        <v>Brian Mutua</v>
      </c>
      <c r="H340" t="s">
        <v>90</v>
      </c>
      <c r="I340" t="s">
        <v>144</v>
      </c>
      <c r="J340" t="str">
        <f>PROPER(TRIM(I340))</f>
        <v>Wheelbarrow - Heavy Duty</v>
      </c>
      <c r="K340">
        <v>20</v>
      </c>
      <c r="L340">
        <f>IF(K340="",0,K340)</f>
        <v>20</v>
      </c>
      <c r="M340">
        <v>5150</v>
      </c>
      <c r="N340">
        <f>IF(M340="",0,M340)</f>
        <v>5150</v>
      </c>
      <c r="O340" t="str">
        <f>IF(L340&lt;0,"NEGATIVE QUANTITY","")</f>
        <v/>
      </c>
      <c r="P340">
        <f t="shared" si="30"/>
        <v>20</v>
      </c>
      <c r="Q340">
        <f>VLOOKUP(H340,'Product Cost Lookup'!A:D,4,FALSE)</f>
        <v>3500</v>
      </c>
      <c r="R340" t="str">
        <f>VLOOKUP(H340,'Product Cost Lookup'!A:D,3,FALSE)</f>
        <v>Hardware</v>
      </c>
      <c r="S340">
        <f t="shared" si="31"/>
        <v>103000</v>
      </c>
      <c r="T340">
        <f t="shared" si="32"/>
        <v>70000</v>
      </c>
      <c r="U340">
        <f t="shared" si="33"/>
        <v>33000</v>
      </c>
      <c r="V340" s="3">
        <f t="shared" si="34"/>
        <v>0.32038834951456313</v>
      </c>
      <c r="W340" t="str">
        <f t="shared" si="35"/>
        <v>Mar</v>
      </c>
    </row>
    <row r="341" spans="1:23">
      <c r="A341">
        <v>10010</v>
      </c>
      <c r="B341" s="2">
        <v>45372</v>
      </c>
      <c r="C341">
        <v>45372</v>
      </c>
      <c r="D341" t="s">
        <v>92</v>
      </c>
      <c r="E341" t="str">
        <f>IF(TRIM(D341)="","Unknown",PROPER(TRIM(D341)))</f>
        <v>Kisumu</v>
      </c>
      <c r="F341" t="s">
        <v>42</v>
      </c>
      <c r="G341" t="str">
        <f>PROPER(TRIM(F341))</f>
        <v>Faith Wanjiru</v>
      </c>
      <c r="H341" t="s">
        <v>53</v>
      </c>
      <c r="I341" t="s">
        <v>72</v>
      </c>
      <c r="J341" t="str">
        <f>PROPER(TRIM(I341))</f>
        <v>Rechargeable Torch Rt-10</v>
      </c>
      <c r="K341">
        <v>6</v>
      </c>
      <c r="L341">
        <f>IF(K341="",0,K341)</f>
        <v>6</v>
      </c>
      <c r="M341">
        <v>950</v>
      </c>
      <c r="N341">
        <f>IF(M341="",0,M341)</f>
        <v>950</v>
      </c>
      <c r="O341" t="str">
        <f>IF(L341&lt;0,"NEGATIVE QUANTITY","")</f>
        <v/>
      </c>
      <c r="P341">
        <f t="shared" si="30"/>
        <v>6</v>
      </c>
      <c r="Q341">
        <f>VLOOKUP(H341,'Product Cost Lookup'!A:D,4,FALSE)</f>
        <v>600</v>
      </c>
      <c r="R341" t="str">
        <f>VLOOKUP(H341,'Product Cost Lookup'!A:D,3,FALSE)</f>
        <v>Electronics</v>
      </c>
      <c r="S341">
        <f t="shared" si="31"/>
        <v>5700</v>
      </c>
      <c r="T341">
        <f t="shared" si="32"/>
        <v>3600</v>
      </c>
      <c r="U341">
        <f t="shared" si="33"/>
        <v>2100</v>
      </c>
      <c r="V341" s="3">
        <f t="shared" si="34"/>
        <v>0.36842105263157893</v>
      </c>
      <c r="W341" t="str">
        <f t="shared" si="35"/>
        <v>Mar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C318-FFE4-40E7-AC93-9A001183A4C1}">
  <dimension ref="A1:D16"/>
  <sheetViews>
    <sheetView workbookViewId="0">
      <selection activeCell="G14" sqref="G14"/>
    </sheetView>
  </sheetViews>
  <sheetFormatPr defaultRowHeight="15"/>
  <cols>
    <col min="1" max="1" width="12.85546875" bestFit="1" customWidth="1"/>
    <col min="2" max="2" width="25.140625" bestFit="1" customWidth="1"/>
    <col min="3" max="3" width="12" bestFit="1" customWidth="1"/>
    <col min="4" max="4" width="16.85546875" bestFit="1" customWidth="1"/>
  </cols>
  <sheetData>
    <row r="1" spans="1:4">
      <c r="A1" t="s">
        <v>4</v>
      </c>
      <c r="B1" t="s">
        <v>5</v>
      </c>
      <c r="C1" t="s">
        <v>192</v>
      </c>
      <c r="D1" t="s">
        <v>198</v>
      </c>
    </row>
    <row r="2" spans="1:4">
      <c r="A2" t="s">
        <v>17</v>
      </c>
      <c r="B2" t="s">
        <v>18</v>
      </c>
      <c r="C2" t="s">
        <v>199</v>
      </c>
      <c r="D2">
        <v>350</v>
      </c>
    </row>
    <row r="3" spans="1:4">
      <c r="A3" t="s">
        <v>50</v>
      </c>
      <c r="B3" t="s">
        <v>69</v>
      </c>
      <c r="C3" t="s">
        <v>200</v>
      </c>
      <c r="D3">
        <v>900</v>
      </c>
    </row>
    <row r="4" spans="1:4">
      <c r="A4" t="s">
        <v>53</v>
      </c>
      <c r="B4" t="s">
        <v>72</v>
      </c>
      <c r="C4" t="s">
        <v>200</v>
      </c>
      <c r="D4">
        <v>600</v>
      </c>
    </row>
    <row r="5" spans="1:4">
      <c r="A5" t="s">
        <v>77</v>
      </c>
      <c r="B5" t="s">
        <v>78</v>
      </c>
      <c r="C5" t="s">
        <v>201</v>
      </c>
      <c r="D5">
        <v>1200</v>
      </c>
    </row>
    <row r="6" spans="1:4">
      <c r="A6" t="s">
        <v>93</v>
      </c>
      <c r="B6" t="s">
        <v>94</v>
      </c>
      <c r="C6" t="s">
        <v>201</v>
      </c>
      <c r="D6">
        <v>700</v>
      </c>
    </row>
    <row r="7" spans="1:4">
      <c r="A7" t="s">
        <v>25</v>
      </c>
      <c r="B7" t="s">
        <v>26</v>
      </c>
      <c r="C7" t="s">
        <v>199</v>
      </c>
      <c r="D7">
        <v>250</v>
      </c>
    </row>
    <row r="8" spans="1:4">
      <c r="A8" t="s">
        <v>65</v>
      </c>
      <c r="B8" t="s">
        <v>73</v>
      </c>
      <c r="C8" t="s">
        <v>199</v>
      </c>
      <c r="D8">
        <v>400</v>
      </c>
    </row>
    <row r="9" spans="1:4">
      <c r="A9" t="s">
        <v>38</v>
      </c>
      <c r="B9" t="s">
        <v>39</v>
      </c>
      <c r="C9" t="s">
        <v>200</v>
      </c>
      <c r="D9">
        <v>300</v>
      </c>
    </row>
    <row r="10" spans="1:4">
      <c r="A10" t="s">
        <v>111</v>
      </c>
      <c r="B10" t="s">
        <v>112</v>
      </c>
      <c r="C10" t="s">
        <v>201</v>
      </c>
      <c r="D10">
        <v>550</v>
      </c>
    </row>
    <row r="11" spans="1:4">
      <c r="A11" t="s">
        <v>90</v>
      </c>
      <c r="B11" t="s">
        <v>96</v>
      </c>
      <c r="C11" t="s">
        <v>202</v>
      </c>
      <c r="D11">
        <v>3500</v>
      </c>
    </row>
    <row r="12" spans="1:4">
      <c r="A12" t="s">
        <v>33</v>
      </c>
      <c r="B12" t="s">
        <v>60</v>
      </c>
      <c r="C12" t="s">
        <v>202</v>
      </c>
      <c r="D12">
        <v>450</v>
      </c>
    </row>
    <row r="13" spans="1:4">
      <c r="A13" t="s">
        <v>30</v>
      </c>
      <c r="B13" t="s">
        <v>31</v>
      </c>
      <c r="C13" t="s">
        <v>202</v>
      </c>
      <c r="D13">
        <v>1100</v>
      </c>
    </row>
    <row r="14" spans="1:4">
      <c r="A14" t="s">
        <v>10</v>
      </c>
      <c r="B14" t="s">
        <v>11</v>
      </c>
      <c r="C14" t="s">
        <v>201</v>
      </c>
      <c r="D14">
        <v>800</v>
      </c>
    </row>
    <row r="15" spans="1:4">
      <c r="A15" t="s">
        <v>55</v>
      </c>
      <c r="B15" t="s">
        <v>56</v>
      </c>
      <c r="C15" t="s">
        <v>200</v>
      </c>
      <c r="D15">
        <v>480</v>
      </c>
    </row>
    <row r="16" spans="1:4">
      <c r="A16" t="s">
        <v>21</v>
      </c>
      <c r="B16" t="s">
        <v>22</v>
      </c>
      <c r="C16" t="s">
        <v>199</v>
      </c>
      <c r="D16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9801-4BC5-4056-982D-378CC10DE51E}">
  <dimension ref="A2:H20"/>
  <sheetViews>
    <sheetView workbookViewId="0">
      <selection activeCell="H20" sqref="H20"/>
    </sheetView>
  </sheetViews>
  <sheetFormatPr defaultRowHeight="15"/>
  <cols>
    <col min="1" max="1" width="18.28515625" bestFit="1" customWidth="1"/>
    <col min="2" max="3" width="16.42578125" bestFit="1" customWidth="1"/>
    <col min="4" max="4" width="12.85546875" bestFit="1" customWidth="1"/>
  </cols>
  <sheetData>
    <row r="2" spans="1:3">
      <c r="A2" s="4" t="s">
        <v>184</v>
      </c>
      <c r="B2" t="s">
        <v>203</v>
      </c>
      <c r="C2" t="s">
        <v>204</v>
      </c>
    </row>
    <row r="3" spans="1:3">
      <c r="A3" t="s">
        <v>19</v>
      </c>
      <c r="B3" s="6">
        <v>580680</v>
      </c>
      <c r="C3" s="6">
        <v>198620</v>
      </c>
    </row>
    <row r="4" spans="1:3">
      <c r="A4" t="s">
        <v>35</v>
      </c>
      <c r="B4" s="6">
        <v>619050</v>
      </c>
      <c r="C4" s="6">
        <v>212600</v>
      </c>
    </row>
    <row r="5" spans="1:3">
      <c r="A5" t="s">
        <v>15</v>
      </c>
      <c r="B5" s="6">
        <v>636960</v>
      </c>
      <c r="C5" s="6">
        <v>240700</v>
      </c>
    </row>
    <row r="6" spans="1:3">
      <c r="A6" t="s">
        <v>74</v>
      </c>
      <c r="B6" s="6">
        <v>710700</v>
      </c>
      <c r="C6" s="6">
        <v>240850</v>
      </c>
    </row>
    <row r="7" spans="1:3">
      <c r="A7" t="s">
        <v>41</v>
      </c>
      <c r="B7" s="6">
        <v>425560</v>
      </c>
      <c r="C7" s="6">
        <v>155820</v>
      </c>
    </row>
    <row r="8" spans="1:3">
      <c r="A8" t="s">
        <v>40</v>
      </c>
      <c r="B8" s="6">
        <v>517900</v>
      </c>
      <c r="C8" s="6">
        <v>184380</v>
      </c>
    </row>
    <row r="9" spans="1:3">
      <c r="A9" t="s">
        <v>205</v>
      </c>
      <c r="B9" s="6">
        <v>80600</v>
      </c>
      <c r="C9" s="6">
        <v>31050</v>
      </c>
    </row>
    <row r="10" spans="1:3">
      <c r="A10" t="s">
        <v>206</v>
      </c>
      <c r="B10" s="6">
        <v>3571450</v>
      </c>
      <c r="C10" s="6">
        <v>1264020</v>
      </c>
    </row>
    <row r="20" spans="8:8">
      <c r="H20">
        <f>GETPIVOTDATA("Sum of Profit",'PIVOT - REGION'!$A$3)</f>
        <v>1264020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2FA7-1304-474A-A4DC-AAC3E55B61BA}">
  <dimension ref="A2:J12"/>
  <sheetViews>
    <sheetView topLeftCell="A2" workbookViewId="0">
      <selection activeCell="L12" sqref="L12"/>
    </sheetView>
  </sheetViews>
  <sheetFormatPr defaultRowHeight="15"/>
  <cols>
    <col min="1" max="1" width="20.7109375" bestFit="1" customWidth="1"/>
    <col min="2" max="3" width="16.42578125" bestFit="1" customWidth="1"/>
  </cols>
  <sheetData>
    <row r="2" spans="1:10">
      <c r="A2" s="4" t="s">
        <v>185</v>
      </c>
      <c r="B2" t="s">
        <v>203</v>
      </c>
      <c r="C2" t="s">
        <v>204</v>
      </c>
    </row>
    <row r="3" spans="1:10">
      <c r="A3" t="s">
        <v>81</v>
      </c>
      <c r="B3" s="6">
        <v>300540</v>
      </c>
      <c r="C3" s="6">
        <v>90840</v>
      </c>
    </row>
    <row r="4" spans="1:10">
      <c r="A4" t="s">
        <v>48</v>
      </c>
      <c r="B4" s="6">
        <v>445850</v>
      </c>
      <c r="C4" s="6">
        <v>159380</v>
      </c>
    </row>
    <row r="5" spans="1:10">
      <c r="A5" t="s">
        <v>14</v>
      </c>
      <c r="B5" s="6">
        <v>412200</v>
      </c>
      <c r="C5" s="6">
        <v>149800</v>
      </c>
    </row>
    <row r="6" spans="1:10">
      <c r="A6" t="s">
        <v>16</v>
      </c>
      <c r="B6" s="6">
        <v>474600</v>
      </c>
      <c r="C6" s="6">
        <v>172100</v>
      </c>
    </row>
    <row r="7" spans="1:10">
      <c r="A7" t="s">
        <v>62</v>
      </c>
      <c r="B7" s="6">
        <v>388840</v>
      </c>
      <c r="C7" s="6">
        <v>139190</v>
      </c>
    </row>
    <row r="8" spans="1:10">
      <c r="A8" t="s">
        <v>24</v>
      </c>
      <c r="B8" s="6">
        <v>485380</v>
      </c>
      <c r="C8" s="6">
        <v>169260</v>
      </c>
    </row>
    <row r="9" spans="1:10">
      <c r="A9" t="s">
        <v>9</v>
      </c>
      <c r="B9" s="6">
        <v>503840</v>
      </c>
      <c r="C9" s="6">
        <v>182400</v>
      </c>
    </row>
    <row r="10" spans="1:10">
      <c r="A10" t="s">
        <v>46</v>
      </c>
      <c r="B10" s="6">
        <v>560200</v>
      </c>
      <c r="C10" s="6">
        <v>201050</v>
      </c>
    </row>
    <row r="11" spans="1:10">
      <c r="A11" t="s">
        <v>206</v>
      </c>
      <c r="B11" s="6">
        <v>3571450</v>
      </c>
      <c r="C11" s="6">
        <v>1264020</v>
      </c>
    </row>
    <row r="12" spans="1:10">
      <c r="J1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7C3E-CD16-4F2D-9CC1-76D5C92CD400}">
  <dimension ref="A2:C7"/>
  <sheetViews>
    <sheetView topLeftCell="A2" workbookViewId="0">
      <selection activeCell="K12" sqref="K12"/>
    </sheetView>
  </sheetViews>
  <sheetFormatPr defaultRowHeight="15"/>
  <cols>
    <col min="1" max="1" width="12.28515625" bestFit="1" customWidth="1"/>
    <col min="2" max="3" width="16.42578125" bestFit="1" customWidth="1"/>
  </cols>
  <sheetData>
    <row r="2" spans="1:3">
      <c r="A2" s="4" t="s">
        <v>192</v>
      </c>
      <c r="B2" t="s">
        <v>203</v>
      </c>
      <c r="C2" t="s">
        <v>204</v>
      </c>
    </row>
    <row r="3" spans="1:3">
      <c r="A3" t="s">
        <v>200</v>
      </c>
      <c r="B3" s="6">
        <v>618380</v>
      </c>
      <c r="C3" s="6">
        <v>230300</v>
      </c>
    </row>
    <row r="4" spans="1:3">
      <c r="A4" t="s">
        <v>202</v>
      </c>
      <c r="B4" s="6">
        <v>1359600</v>
      </c>
      <c r="C4" s="6">
        <v>454150</v>
      </c>
    </row>
    <row r="5" spans="1:3">
      <c r="A5" t="s">
        <v>199</v>
      </c>
      <c r="B5" s="6">
        <v>779020</v>
      </c>
      <c r="C5" s="6">
        <v>281020</v>
      </c>
    </row>
    <row r="6" spans="1:3">
      <c r="A6" t="s">
        <v>201</v>
      </c>
      <c r="B6" s="6">
        <v>814450</v>
      </c>
      <c r="C6" s="6">
        <v>298550</v>
      </c>
    </row>
    <row r="7" spans="1:3">
      <c r="A7" t="s">
        <v>206</v>
      </c>
      <c r="B7" s="6">
        <v>3571450</v>
      </c>
      <c r="C7" s="6">
        <v>1264020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0BDF-65B5-42F5-9AA0-EF384B286115}">
  <dimension ref="A2:B8"/>
  <sheetViews>
    <sheetView workbookViewId="0">
      <selection activeCell="H13" sqref="H13"/>
    </sheetView>
  </sheetViews>
  <sheetFormatPr defaultRowHeight="15"/>
  <cols>
    <col min="1" max="1" width="25.140625" bestFit="1" customWidth="1"/>
    <col min="2" max="2" width="16.42578125" bestFit="1" customWidth="1"/>
  </cols>
  <sheetData>
    <row r="2" spans="1:2">
      <c r="A2" s="4" t="s">
        <v>186</v>
      </c>
      <c r="B2" t="s">
        <v>203</v>
      </c>
    </row>
    <row r="3" spans="1:2">
      <c r="A3" t="s">
        <v>207</v>
      </c>
      <c r="B3" s="6">
        <v>306500</v>
      </c>
    </row>
    <row r="4" spans="1:2">
      <c r="A4" t="s">
        <v>208</v>
      </c>
      <c r="B4" s="6">
        <v>540250</v>
      </c>
    </row>
    <row r="5" spans="1:2">
      <c r="A5" t="s">
        <v>11</v>
      </c>
      <c r="B5" s="6">
        <v>290150</v>
      </c>
    </row>
    <row r="6" spans="1:2">
      <c r="A6" t="s">
        <v>22</v>
      </c>
      <c r="B6" s="6">
        <v>456600</v>
      </c>
    </row>
    <row r="7" spans="1:2">
      <c r="A7" t="s">
        <v>96</v>
      </c>
      <c r="B7" s="6">
        <v>459650</v>
      </c>
    </row>
    <row r="8" spans="1:2">
      <c r="A8" t="s">
        <v>206</v>
      </c>
      <c r="B8" s="6">
        <v>2053150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FBDD-A4C2-45CE-8C80-4DB9D17B45C1}">
  <dimension ref="H7:J20"/>
  <sheetViews>
    <sheetView workbookViewId="0">
      <selection activeCell="L21" sqref="L21"/>
    </sheetView>
  </sheetViews>
  <sheetFormatPr defaultRowHeight="15"/>
  <cols>
    <col min="8" max="8" width="11.7109375" bestFit="1" customWidth="1"/>
    <col min="9" max="10" width="16.42578125" bestFit="1" customWidth="1"/>
  </cols>
  <sheetData>
    <row r="7" spans="8:10">
      <c r="H7" s="4" t="s">
        <v>197</v>
      </c>
      <c r="I7" t="s">
        <v>203</v>
      </c>
      <c r="J7" t="s">
        <v>204</v>
      </c>
    </row>
    <row r="8" spans="8:10">
      <c r="H8" t="s">
        <v>209</v>
      </c>
      <c r="I8" s="6">
        <v>982630</v>
      </c>
      <c r="J8" s="6">
        <v>357600</v>
      </c>
    </row>
    <row r="9" spans="8:10">
      <c r="H9" t="s">
        <v>210</v>
      </c>
      <c r="I9" s="6">
        <v>857320</v>
      </c>
      <c r="J9" s="6">
        <v>319560</v>
      </c>
    </row>
    <row r="10" spans="8:10">
      <c r="H10" t="s">
        <v>211</v>
      </c>
      <c r="I10" s="6">
        <v>1288420</v>
      </c>
      <c r="J10" s="6">
        <v>441280</v>
      </c>
    </row>
    <row r="11" spans="8:10">
      <c r="H11" t="s">
        <v>212</v>
      </c>
      <c r="I11" s="6">
        <v>16300</v>
      </c>
      <c r="J11" s="6">
        <v>6400</v>
      </c>
    </row>
    <row r="12" spans="8:10">
      <c r="H12" t="s">
        <v>213</v>
      </c>
      <c r="I12" s="6">
        <v>54650</v>
      </c>
      <c r="J12" s="6">
        <v>20150</v>
      </c>
    </row>
    <row r="13" spans="8:10">
      <c r="H13" t="s">
        <v>214</v>
      </c>
      <c r="I13" s="6">
        <v>159600</v>
      </c>
      <c r="J13" s="6">
        <v>41100</v>
      </c>
    </row>
    <row r="14" spans="8:10">
      <c r="H14" t="s">
        <v>215</v>
      </c>
      <c r="I14" s="6">
        <v>7650</v>
      </c>
      <c r="J14" s="6">
        <v>3200</v>
      </c>
    </row>
    <row r="15" spans="8:10">
      <c r="H15" t="s">
        <v>216</v>
      </c>
      <c r="I15" s="6">
        <v>77480</v>
      </c>
      <c r="J15" s="6">
        <v>26180</v>
      </c>
    </row>
    <row r="16" spans="8:10">
      <c r="H16" t="s">
        <v>217</v>
      </c>
      <c r="I16" s="6">
        <v>10400</v>
      </c>
      <c r="J16" s="6">
        <v>3400</v>
      </c>
    </row>
    <row r="17" spans="8:10">
      <c r="H17" t="s">
        <v>218</v>
      </c>
      <c r="I17" s="6">
        <v>37900</v>
      </c>
      <c r="J17" s="6">
        <v>13350</v>
      </c>
    </row>
    <row r="18" spans="8:10">
      <c r="H18" t="s">
        <v>219</v>
      </c>
      <c r="I18" s="6">
        <v>28100</v>
      </c>
      <c r="J18" s="6">
        <v>11300</v>
      </c>
    </row>
    <row r="19" spans="8:10">
      <c r="H19" t="s">
        <v>220</v>
      </c>
      <c r="I19" s="6">
        <v>51000</v>
      </c>
      <c r="J19" s="6">
        <v>20500</v>
      </c>
    </row>
    <row r="20" spans="8:10">
      <c r="H20" t="s">
        <v>206</v>
      </c>
      <c r="I20" s="6">
        <v>3571450</v>
      </c>
      <c r="J20" s="6">
        <v>1264020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F702-3C0B-4BB3-9EB7-CE049F0ED9D8}">
  <dimension ref="H2:M73"/>
  <sheetViews>
    <sheetView topLeftCell="D1" workbookViewId="0">
      <selection activeCell="O15" sqref="O15"/>
    </sheetView>
  </sheetViews>
  <sheetFormatPr defaultRowHeight="15"/>
  <cols>
    <col min="4" max="4" width="18.28515625" bestFit="1" customWidth="1"/>
    <col min="5" max="6" width="16.42578125" bestFit="1" customWidth="1"/>
    <col min="10" max="10" width="25.140625" bestFit="1" customWidth="1"/>
    <col min="11" max="11" width="16.42578125" bestFit="1" customWidth="1"/>
    <col min="19" max="19" width="11.7109375" bestFit="1" customWidth="1"/>
    <col min="20" max="21" width="16.42578125" bestFit="1" customWidth="1"/>
  </cols>
  <sheetData>
    <row r="2" spans="8:13" ht="20.25">
      <c r="J2" s="9" t="s">
        <v>221</v>
      </c>
      <c r="K2" s="8"/>
    </row>
    <row r="6" spans="8:13">
      <c r="H6" s="19" t="s">
        <v>222</v>
      </c>
      <c r="I6" s="20"/>
      <c r="L6" s="21" t="s">
        <v>223</v>
      </c>
      <c r="M6" s="22"/>
    </row>
    <row r="7" spans="8:13" ht="15" customHeight="1">
      <c r="H7" s="28">
        <f>GETPIVOTDATA("Sum of Revenue",'PIVOT - REGION'!$A$3)</f>
        <v>3571450</v>
      </c>
      <c r="I7" s="29"/>
      <c r="J7" s="8"/>
      <c r="K7" s="8"/>
      <c r="L7" s="23">
        <f>GETPIVOTDATA("Sum of Profit",'PIVOT - REGION'!$A$3)</f>
        <v>1264020</v>
      </c>
      <c r="M7" s="24"/>
    </row>
    <row r="8" spans="8:13">
      <c r="H8" s="8"/>
      <c r="I8" s="8"/>
      <c r="J8" s="8"/>
      <c r="K8" s="8"/>
      <c r="L8" s="8"/>
      <c r="M8" s="8"/>
    </row>
    <row r="9" spans="8:13">
      <c r="H9" s="8"/>
      <c r="I9" s="8"/>
      <c r="J9" s="8"/>
      <c r="K9" s="8"/>
      <c r="L9" s="8"/>
      <c r="M9" s="8"/>
    </row>
    <row r="10" spans="8:13">
      <c r="H10" s="25" t="s">
        <v>224</v>
      </c>
      <c r="I10" s="26"/>
      <c r="J10" s="8"/>
      <c r="K10" s="8"/>
      <c r="L10" s="15" t="s">
        <v>225</v>
      </c>
      <c r="M10" s="16"/>
    </row>
    <row r="11" spans="8:13">
      <c r="H11" s="13">
        <f>L7/H7</f>
        <v>0.35392347645914124</v>
      </c>
      <c r="I11" s="14"/>
      <c r="J11" s="8"/>
      <c r="K11" s="8"/>
      <c r="L11" s="17">
        <f>COUNTA('Cleaned Sales Data'!A:A)-1</f>
        <v>340</v>
      </c>
      <c r="M11" s="18"/>
    </row>
    <row r="12" spans="8:13">
      <c r="L12" s="7"/>
      <c r="M12" s="7"/>
    </row>
    <row r="19" spans="10:11" ht="15.75">
      <c r="J19" s="10" t="s">
        <v>226</v>
      </c>
      <c r="K19" s="11"/>
    </row>
    <row r="38" spans="10:11" ht="15.75">
      <c r="J38" s="10" t="s">
        <v>227</v>
      </c>
      <c r="K38" s="12"/>
    </row>
    <row r="58" spans="10:11" ht="15.75">
      <c r="J58" s="10" t="s">
        <v>228</v>
      </c>
      <c r="K58" s="12"/>
    </row>
    <row r="60" spans="10:11">
      <c r="J60" s="4" t="s">
        <v>186</v>
      </c>
      <c r="K60" t="s">
        <v>203</v>
      </c>
    </row>
    <row r="61" spans="10:11">
      <c r="J61" t="s">
        <v>207</v>
      </c>
      <c r="K61" s="6">
        <v>306500</v>
      </c>
    </row>
    <row r="62" spans="10:11">
      <c r="J62" t="s">
        <v>208</v>
      </c>
      <c r="K62" s="6">
        <v>540250</v>
      </c>
    </row>
    <row r="63" spans="10:11">
      <c r="J63" t="s">
        <v>11</v>
      </c>
      <c r="K63" s="6">
        <v>290150</v>
      </c>
    </row>
    <row r="64" spans="10:11">
      <c r="J64" t="s">
        <v>22</v>
      </c>
      <c r="K64" s="6">
        <v>456600</v>
      </c>
    </row>
    <row r="65" spans="10:11">
      <c r="J65" t="s">
        <v>96</v>
      </c>
      <c r="K65" s="6">
        <v>459650</v>
      </c>
    </row>
    <row r="66" spans="10:11">
      <c r="J66" t="s">
        <v>206</v>
      </c>
      <c r="K66" s="6">
        <v>2053150</v>
      </c>
    </row>
    <row r="73" spans="10:11" ht="20.25">
      <c r="J73" s="27" t="s">
        <v>229</v>
      </c>
      <c r="K73" s="12"/>
    </row>
  </sheetData>
  <mergeCells count="12">
    <mergeCell ref="L10:M10"/>
    <mergeCell ref="L11:M11"/>
    <mergeCell ref="H6:I6"/>
    <mergeCell ref="L6:M6"/>
    <mergeCell ref="L7:M7"/>
    <mergeCell ref="H10:I10"/>
    <mergeCell ref="H7:I7"/>
    <mergeCell ref="J19:K19"/>
    <mergeCell ref="J38:K38"/>
    <mergeCell ref="J58:K58"/>
    <mergeCell ref="J73:K73"/>
    <mergeCell ref="H11:I1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74A6-18E7-4E34-933B-70A563D4EBF1}">
  <dimension ref="H1:J22"/>
  <sheetViews>
    <sheetView workbookViewId="0">
      <selection activeCell="F9" sqref="F9"/>
    </sheetView>
  </sheetViews>
  <sheetFormatPr defaultRowHeight="15"/>
  <sheetData>
    <row r="1" spans="8:10" ht="18.75">
      <c r="J1" s="32" t="s">
        <v>230</v>
      </c>
    </row>
    <row r="6" spans="8:10">
      <c r="H6" s="31" t="s">
        <v>231</v>
      </c>
      <c r="J6" s="31" t="s">
        <v>232</v>
      </c>
    </row>
    <row r="7" spans="8:10">
      <c r="H7" t="s">
        <v>233</v>
      </c>
      <c r="J7" t="s">
        <v>234</v>
      </c>
    </row>
    <row r="8" spans="8:10">
      <c r="H8" t="s">
        <v>235</v>
      </c>
      <c r="J8" t="s">
        <v>236</v>
      </c>
    </row>
    <row r="9" spans="8:10">
      <c r="H9" t="s">
        <v>237</v>
      </c>
      <c r="J9" t="s">
        <v>238</v>
      </c>
    </row>
    <row r="10" spans="8:10">
      <c r="H10" t="s">
        <v>239</v>
      </c>
      <c r="J10" t="s">
        <v>238</v>
      </c>
    </row>
    <row r="11" spans="8:10">
      <c r="H11" t="s">
        <v>240</v>
      </c>
      <c r="J11" t="s">
        <v>241</v>
      </c>
    </row>
    <row r="12" spans="8:10">
      <c r="H12" t="s">
        <v>242</v>
      </c>
      <c r="J12" t="s">
        <v>243</v>
      </c>
    </row>
    <row r="13" spans="8:10">
      <c r="H13" t="s">
        <v>244</v>
      </c>
      <c r="J13" t="s">
        <v>245</v>
      </c>
    </row>
    <row r="14" spans="8:10">
      <c r="H14" t="s">
        <v>246</v>
      </c>
      <c r="J14" t="s">
        <v>245</v>
      </c>
    </row>
    <row r="15" spans="8:10">
      <c r="H15" t="s">
        <v>247</v>
      </c>
      <c r="J15" t="s">
        <v>248</v>
      </c>
    </row>
    <row r="16" spans="8:10">
      <c r="H16" t="s">
        <v>249</v>
      </c>
      <c r="J16" t="s">
        <v>250</v>
      </c>
    </row>
    <row r="22" spans="8:9">
      <c r="H22" s="30"/>
      <c r="I22" s="3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72F7-FF38-4C37-8C9B-BEC808DDA9E9}">
  <dimension ref="A1:W341"/>
  <sheetViews>
    <sheetView workbookViewId="0"/>
  </sheetViews>
  <sheetFormatPr defaultRowHeight="15"/>
  <cols>
    <col min="1" max="1" width="11" bestFit="1" customWidth="1"/>
    <col min="2" max="2" width="13.28515625" bestFit="1" customWidth="1"/>
    <col min="3" max="3" width="21.28515625" bestFit="1" customWidth="1"/>
    <col min="4" max="4" width="10.85546875" bestFit="1" customWidth="1"/>
    <col min="5" max="5" width="17.42578125" bestFit="1" customWidth="1"/>
    <col min="6" max="6" width="15.85546875" bestFit="1" customWidth="1"/>
    <col min="7" max="7" width="19.85546875" bestFit="1" customWidth="1"/>
    <col min="8" max="8" width="12.85546875" bestFit="1" customWidth="1"/>
    <col min="9" max="9" width="28.140625" bestFit="1" customWidth="1"/>
    <col min="10" max="10" width="25.140625" bestFit="1" customWidth="1"/>
    <col min="11" max="11" width="11.28515625" bestFit="1" customWidth="1"/>
    <col min="12" max="12" width="16" bestFit="1" customWidth="1"/>
    <col min="13" max="13" width="17.28515625" bestFit="1" customWidth="1"/>
    <col min="14" max="14" width="25.28515625" bestFit="1" customWidth="1"/>
    <col min="15" max="15" width="19.85546875" bestFit="1" customWidth="1"/>
    <col min="16" max="16" width="19.140625" bestFit="1" customWidth="1"/>
    <col min="17" max="17" width="11.5703125" bestFit="1" customWidth="1"/>
    <col min="18" max="18" width="12" bestFit="1" customWidth="1"/>
    <col min="19" max="19" width="11.140625" bestFit="1" customWidth="1"/>
    <col min="20" max="20" width="7.28515625" bestFit="1" customWidth="1"/>
    <col min="21" max="21" width="8.42578125" bestFit="1" customWidth="1"/>
    <col min="22" max="22" width="12.5703125" bestFit="1" customWidth="1"/>
    <col min="23" max="23" width="9.42578125" bestFit="1" customWidth="1"/>
  </cols>
  <sheetData>
    <row r="1" spans="1:23">
      <c r="A1" t="s">
        <v>0</v>
      </c>
      <c r="B1" t="s">
        <v>1</v>
      </c>
      <c r="C1" t="s">
        <v>183</v>
      </c>
      <c r="D1" t="s">
        <v>2</v>
      </c>
      <c r="E1" t="s">
        <v>184</v>
      </c>
      <c r="F1" t="s">
        <v>3</v>
      </c>
      <c r="G1" t="s">
        <v>185</v>
      </c>
      <c r="H1" t="s">
        <v>4</v>
      </c>
      <c r="I1" t="s">
        <v>5</v>
      </c>
      <c r="J1" t="s">
        <v>186</v>
      </c>
      <c r="K1" t="s">
        <v>6</v>
      </c>
      <c r="L1" t="s">
        <v>187</v>
      </c>
      <c r="M1" t="s">
        <v>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  <c r="V1" t="s">
        <v>196</v>
      </c>
      <c r="W1" t="s">
        <v>197</v>
      </c>
    </row>
    <row r="2" spans="1:23">
      <c r="A2">
        <v>10008</v>
      </c>
      <c r="B2">
        <v>45306</v>
      </c>
      <c r="C2">
        <v>45306</v>
      </c>
      <c r="D2" t="s">
        <v>8</v>
      </c>
      <c r="E2" t="s">
        <v>15</v>
      </c>
      <c r="F2" t="s">
        <v>9</v>
      </c>
      <c r="G2" t="s">
        <v>9</v>
      </c>
      <c r="H2" t="s">
        <v>10</v>
      </c>
      <c r="I2" t="s">
        <v>11</v>
      </c>
      <c r="J2" t="s">
        <v>11</v>
      </c>
      <c r="K2">
        <v>20</v>
      </c>
      <c r="L2">
        <v>20</v>
      </c>
      <c r="M2">
        <v>1350</v>
      </c>
      <c r="N2">
        <v>1350</v>
      </c>
      <c r="P2">
        <v>20</v>
      </c>
      <c r="Q2">
        <v>800</v>
      </c>
      <c r="R2" t="s">
        <v>201</v>
      </c>
      <c r="S2">
        <v>27000</v>
      </c>
      <c r="T2">
        <v>16000</v>
      </c>
      <c r="U2">
        <v>11000</v>
      </c>
      <c r="V2">
        <v>0.407407407407407</v>
      </c>
      <c r="W2" t="s">
        <v>209</v>
      </c>
    </row>
    <row r="3" spans="1:23">
      <c r="A3">
        <v>10300</v>
      </c>
      <c r="B3">
        <v>45364</v>
      </c>
      <c r="C3">
        <v>45364</v>
      </c>
      <c r="D3" t="s">
        <v>13</v>
      </c>
      <c r="E3" t="s">
        <v>41</v>
      </c>
      <c r="F3" t="s">
        <v>14</v>
      </c>
      <c r="G3" t="s">
        <v>14</v>
      </c>
      <c r="H3" t="s">
        <v>10</v>
      </c>
      <c r="I3" t="s">
        <v>11</v>
      </c>
      <c r="J3" t="s">
        <v>11</v>
      </c>
      <c r="K3">
        <v>6</v>
      </c>
      <c r="L3">
        <v>6</v>
      </c>
      <c r="M3">
        <v>1350</v>
      </c>
      <c r="N3">
        <v>1350</v>
      </c>
      <c r="P3">
        <v>6</v>
      </c>
      <c r="Q3">
        <v>800</v>
      </c>
      <c r="R3" t="s">
        <v>201</v>
      </c>
      <c r="S3">
        <v>8100</v>
      </c>
      <c r="T3">
        <v>4800</v>
      </c>
      <c r="U3">
        <v>3300</v>
      </c>
      <c r="V3">
        <v>0.407407407407407</v>
      </c>
      <c r="W3" t="s">
        <v>211</v>
      </c>
    </row>
    <row r="4" spans="1:23">
      <c r="A4">
        <v>10328</v>
      </c>
      <c r="B4">
        <v>45338</v>
      </c>
      <c r="C4">
        <v>45338</v>
      </c>
      <c r="D4" t="s">
        <v>15</v>
      </c>
      <c r="E4" t="s">
        <v>15</v>
      </c>
      <c r="F4" t="s">
        <v>16</v>
      </c>
      <c r="G4" t="s">
        <v>16</v>
      </c>
      <c r="H4" t="s">
        <v>17</v>
      </c>
      <c r="I4" t="s">
        <v>18</v>
      </c>
      <c r="J4" t="s">
        <v>18</v>
      </c>
      <c r="K4">
        <v>4</v>
      </c>
      <c r="L4">
        <v>4</v>
      </c>
      <c r="M4">
        <v>600</v>
      </c>
      <c r="N4">
        <v>600</v>
      </c>
      <c r="P4">
        <v>4</v>
      </c>
      <c r="Q4">
        <v>350</v>
      </c>
      <c r="R4" t="s">
        <v>199</v>
      </c>
      <c r="S4">
        <v>2400</v>
      </c>
      <c r="T4">
        <v>1400</v>
      </c>
      <c r="U4">
        <v>1000</v>
      </c>
      <c r="V4">
        <v>0.41666666666666702</v>
      </c>
      <c r="W4" t="s">
        <v>210</v>
      </c>
    </row>
    <row r="5" spans="1:23">
      <c r="A5">
        <v>10216</v>
      </c>
      <c r="B5">
        <v>45373</v>
      </c>
      <c r="C5">
        <v>45373</v>
      </c>
      <c r="D5" t="s">
        <v>19</v>
      </c>
      <c r="E5" t="s">
        <v>19</v>
      </c>
      <c r="F5" t="s">
        <v>20</v>
      </c>
      <c r="G5" t="s">
        <v>16</v>
      </c>
      <c r="H5" t="s">
        <v>21</v>
      </c>
      <c r="I5" t="s">
        <v>22</v>
      </c>
      <c r="J5" t="s">
        <v>22</v>
      </c>
      <c r="K5">
        <v>10</v>
      </c>
      <c r="L5">
        <v>10</v>
      </c>
      <c r="M5">
        <v>2300</v>
      </c>
      <c r="N5">
        <v>2300</v>
      </c>
      <c r="P5">
        <v>10</v>
      </c>
      <c r="Q5">
        <v>1500</v>
      </c>
      <c r="R5" t="s">
        <v>199</v>
      </c>
      <c r="S5">
        <v>23000</v>
      </c>
      <c r="T5">
        <v>15000</v>
      </c>
      <c r="U5">
        <v>8000</v>
      </c>
      <c r="V5">
        <v>0.34782608695652201</v>
      </c>
      <c r="W5" t="s">
        <v>211</v>
      </c>
    </row>
    <row r="6" spans="1:23">
      <c r="A6">
        <v>10065</v>
      </c>
      <c r="B6">
        <v>45505</v>
      </c>
      <c r="C6">
        <v>45505</v>
      </c>
      <c r="D6" t="s">
        <v>23</v>
      </c>
      <c r="E6" t="s">
        <v>35</v>
      </c>
      <c r="F6" t="s">
        <v>24</v>
      </c>
      <c r="G6" t="s">
        <v>24</v>
      </c>
      <c r="H6" t="s">
        <v>25</v>
      </c>
      <c r="I6" t="s">
        <v>26</v>
      </c>
      <c r="J6" t="s">
        <v>26</v>
      </c>
      <c r="K6">
        <v>8</v>
      </c>
      <c r="L6">
        <v>8</v>
      </c>
      <c r="M6">
        <v>420</v>
      </c>
      <c r="N6">
        <v>420</v>
      </c>
      <c r="P6">
        <v>8</v>
      </c>
      <c r="Q6">
        <v>250</v>
      </c>
      <c r="R6" t="s">
        <v>199</v>
      </c>
      <c r="S6">
        <v>3360</v>
      </c>
      <c r="T6">
        <v>2000</v>
      </c>
      <c r="U6">
        <v>1360</v>
      </c>
      <c r="V6">
        <v>0.40476190476190499</v>
      </c>
      <c r="W6" t="s">
        <v>216</v>
      </c>
    </row>
    <row r="7" spans="1:23">
      <c r="A7">
        <v>10222</v>
      </c>
      <c r="B7">
        <v>45339</v>
      </c>
      <c r="C7">
        <v>45339</v>
      </c>
      <c r="D7" t="s">
        <v>15</v>
      </c>
      <c r="E7" t="s">
        <v>15</v>
      </c>
      <c r="F7" t="s">
        <v>27</v>
      </c>
      <c r="G7" t="s">
        <v>81</v>
      </c>
      <c r="H7" t="s">
        <v>17</v>
      </c>
      <c r="I7" t="s">
        <v>18</v>
      </c>
      <c r="J7" t="s">
        <v>18</v>
      </c>
      <c r="K7">
        <v>5</v>
      </c>
      <c r="L7">
        <v>5</v>
      </c>
      <c r="M7">
        <v>600</v>
      </c>
      <c r="N7">
        <v>600</v>
      </c>
      <c r="P7">
        <v>5</v>
      </c>
      <c r="Q7">
        <v>350</v>
      </c>
      <c r="R7" t="s">
        <v>199</v>
      </c>
      <c r="S7">
        <v>3000</v>
      </c>
      <c r="T7">
        <v>1750</v>
      </c>
      <c r="U7">
        <v>1250</v>
      </c>
      <c r="V7">
        <v>0.41666666666666702</v>
      </c>
      <c r="W7" t="s">
        <v>210</v>
      </c>
    </row>
    <row r="8" spans="1:23">
      <c r="A8">
        <v>10140</v>
      </c>
      <c r="B8">
        <v>45306</v>
      </c>
      <c r="C8">
        <v>45306</v>
      </c>
      <c r="D8" t="s">
        <v>29</v>
      </c>
      <c r="E8" t="s">
        <v>40</v>
      </c>
      <c r="F8" t="s">
        <v>14</v>
      </c>
      <c r="G8" t="s">
        <v>14</v>
      </c>
      <c r="H8" t="s">
        <v>30</v>
      </c>
      <c r="I8" t="s">
        <v>31</v>
      </c>
      <c r="J8" t="s">
        <v>208</v>
      </c>
      <c r="K8">
        <v>15</v>
      </c>
      <c r="L8">
        <v>15</v>
      </c>
      <c r="M8">
        <v>1750</v>
      </c>
      <c r="N8">
        <v>1750</v>
      </c>
      <c r="P8">
        <v>15</v>
      </c>
      <c r="Q8">
        <v>1100</v>
      </c>
      <c r="R8" t="s">
        <v>202</v>
      </c>
      <c r="S8">
        <v>26250</v>
      </c>
      <c r="T8">
        <v>16500</v>
      </c>
      <c r="U8">
        <v>9750</v>
      </c>
      <c r="V8">
        <v>0.371428571428571</v>
      </c>
      <c r="W8" t="s">
        <v>209</v>
      </c>
    </row>
    <row r="9" spans="1:23">
      <c r="A9">
        <v>10268</v>
      </c>
      <c r="B9">
        <v>45336</v>
      </c>
      <c r="C9">
        <v>45336</v>
      </c>
      <c r="D9" t="s">
        <v>15</v>
      </c>
      <c r="E9" t="s">
        <v>15</v>
      </c>
      <c r="F9" t="s">
        <v>14</v>
      </c>
      <c r="G9" t="s">
        <v>14</v>
      </c>
      <c r="H9" t="s">
        <v>33</v>
      </c>
      <c r="I9" t="s">
        <v>34</v>
      </c>
      <c r="J9" t="s">
        <v>251</v>
      </c>
      <c r="K9">
        <v>6</v>
      </c>
      <c r="L9">
        <v>6</v>
      </c>
      <c r="M9">
        <v>700</v>
      </c>
      <c r="N9">
        <v>700</v>
      </c>
      <c r="P9">
        <v>6</v>
      </c>
      <c r="Q9">
        <v>450</v>
      </c>
      <c r="R9" t="s">
        <v>202</v>
      </c>
      <c r="S9">
        <v>4200</v>
      </c>
      <c r="T9">
        <v>2700</v>
      </c>
      <c r="U9">
        <v>1500</v>
      </c>
      <c r="V9">
        <v>0.35714285714285698</v>
      </c>
      <c r="W9" t="s">
        <v>210</v>
      </c>
    </row>
    <row r="10" spans="1:23">
      <c r="A10">
        <v>10025</v>
      </c>
      <c r="B10">
        <v>45323</v>
      </c>
      <c r="C10">
        <v>45323</v>
      </c>
      <c r="D10" t="s">
        <v>35</v>
      </c>
      <c r="E10" t="s">
        <v>35</v>
      </c>
      <c r="F10" t="s">
        <v>36</v>
      </c>
      <c r="G10" t="s">
        <v>9</v>
      </c>
      <c r="H10" t="s">
        <v>10</v>
      </c>
      <c r="I10" t="s">
        <v>11</v>
      </c>
      <c r="J10" t="s">
        <v>11</v>
      </c>
      <c r="K10">
        <v>2</v>
      </c>
      <c r="L10">
        <v>2</v>
      </c>
      <c r="M10">
        <v>1350</v>
      </c>
      <c r="N10">
        <v>1350</v>
      </c>
      <c r="P10">
        <v>2</v>
      </c>
      <c r="Q10">
        <v>800</v>
      </c>
      <c r="R10" t="s">
        <v>201</v>
      </c>
      <c r="S10">
        <v>2700</v>
      </c>
      <c r="T10">
        <v>1600</v>
      </c>
      <c r="U10">
        <v>1100</v>
      </c>
      <c r="V10">
        <v>0.407407407407407</v>
      </c>
      <c r="W10" t="s">
        <v>210</v>
      </c>
    </row>
    <row r="11" spans="1:23">
      <c r="A11">
        <v>10205</v>
      </c>
      <c r="B11">
        <v>45599</v>
      </c>
      <c r="C11">
        <v>45599</v>
      </c>
      <c r="D11" t="s">
        <v>37</v>
      </c>
      <c r="E11" t="s">
        <v>15</v>
      </c>
      <c r="F11" t="s">
        <v>16</v>
      </c>
      <c r="G11" t="s">
        <v>16</v>
      </c>
      <c r="H11" t="s">
        <v>38</v>
      </c>
      <c r="I11" t="s">
        <v>39</v>
      </c>
      <c r="J11" t="s">
        <v>252</v>
      </c>
      <c r="K11">
        <v>2</v>
      </c>
      <c r="L11">
        <v>2</v>
      </c>
      <c r="M11">
        <v>500</v>
      </c>
      <c r="N11">
        <v>500</v>
      </c>
      <c r="P11">
        <v>2</v>
      </c>
      <c r="Q11">
        <v>300</v>
      </c>
      <c r="R11" t="s">
        <v>200</v>
      </c>
      <c r="S11">
        <v>1000</v>
      </c>
      <c r="T11">
        <v>600</v>
      </c>
      <c r="U11">
        <v>400</v>
      </c>
      <c r="V11">
        <v>0.4</v>
      </c>
      <c r="W11" t="s">
        <v>219</v>
      </c>
    </row>
    <row r="12" spans="1:23">
      <c r="A12">
        <v>10188</v>
      </c>
      <c r="B12">
        <v>45370</v>
      </c>
      <c r="C12">
        <v>45370</v>
      </c>
      <c r="D12" t="s">
        <v>40</v>
      </c>
      <c r="E12" t="s">
        <v>40</v>
      </c>
      <c r="F12" t="s">
        <v>9</v>
      </c>
      <c r="G12" t="s">
        <v>9</v>
      </c>
      <c r="H12" t="s">
        <v>38</v>
      </c>
      <c r="I12" t="s">
        <v>39</v>
      </c>
      <c r="J12" t="s">
        <v>252</v>
      </c>
      <c r="K12">
        <v>6</v>
      </c>
      <c r="L12">
        <v>6</v>
      </c>
      <c r="M12">
        <v>500</v>
      </c>
      <c r="N12">
        <v>500</v>
      </c>
      <c r="P12">
        <v>6</v>
      </c>
      <c r="Q12">
        <v>300</v>
      </c>
      <c r="R12" t="s">
        <v>200</v>
      </c>
      <c r="S12">
        <v>3000</v>
      </c>
      <c r="T12">
        <v>1800</v>
      </c>
      <c r="U12">
        <v>1200</v>
      </c>
      <c r="V12">
        <v>0.4</v>
      </c>
      <c r="W12" t="s">
        <v>211</v>
      </c>
    </row>
    <row r="13" spans="1:23">
      <c r="A13">
        <v>10152</v>
      </c>
      <c r="B13">
        <v>45321</v>
      </c>
      <c r="C13">
        <v>45321</v>
      </c>
      <c r="D13" t="s">
        <v>41</v>
      </c>
      <c r="E13" t="s">
        <v>41</v>
      </c>
      <c r="F13" t="s">
        <v>42</v>
      </c>
      <c r="G13" t="s">
        <v>14</v>
      </c>
      <c r="H13" t="s">
        <v>38</v>
      </c>
      <c r="I13" t="s">
        <v>39</v>
      </c>
      <c r="J13" t="s">
        <v>252</v>
      </c>
      <c r="K13">
        <v>12</v>
      </c>
      <c r="L13">
        <v>12</v>
      </c>
      <c r="M13">
        <v>500</v>
      </c>
      <c r="N13">
        <v>500</v>
      </c>
      <c r="P13">
        <v>12</v>
      </c>
      <c r="Q13">
        <v>300</v>
      </c>
      <c r="R13" t="s">
        <v>200</v>
      </c>
      <c r="S13">
        <v>6000</v>
      </c>
      <c r="T13">
        <v>3600</v>
      </c>
      <c r="U13">
        <v>2400</v>
      </c>
      <c r="V13">
        <v>0.4</v>
      </c>
      <c r="W13" t="s">
        <v>209</v>
      </c>
    </row>
    <row r="14" spans="1:23">
      <c r="A14">
        <v>10137</v>
      </c>
      <c r="B14">
        <v>45325</v>
      </c>
      <c r="C14">
        <v>45325</v>
      </c>
      <c r="D14" t="s">
        <v>41</v>
      </c>
      <c r="E14" t="s">
        <v>41</v>
      </c>
      <c r="F14" t="s">
        <v>14</v>
      </c>
      <c r="G14" t="s">
        <v>14</v>
      </c>
      <c r="H14" t="s">
        <v>38</v>
      </c>
      <c r="I14" t="s">
        <v>39</v>
      </c>
      <c r="J14" t="s">
        <v>252</v>
      </c>
      <c r="K14">
        <v>-5</v>
      </c>
      <c r="L14">
        <v>-5</v>
      </c>
      <c r="M14">
        <v>500</v>
      </c>
      <c r="N14">
        <v>500</v>
      </c>
      <c r="O14" t="s">
        <v>253</v>
      </c>
      <c r="P14">
        <v>5</v>
      </c>
      <c r="Q14">
        <v>300</v>
      </c>
      <c r="R14" t="s">
        <v>200</v>
      </c>
      <c r="S14">
        <v>2500</v>
      </c>
      <c r="T14">
        <v>1500</v>
      </c>
      <c r="U14">
        <v>1000</v>
      </c>
      <c r="V14">
        <v>0.4</v>
      </c>
      <c r="W14" t="s">
        <v>210</v>
      </c>
    </row>
    <row r="15" spans="1:23">
      <c r="A15">
        <v>10107</v>
      </c>
      <c r="B15">
        <v>45296</v>
      </c>
      <c r="C15">
        <v>45296</v>
      </c>
      <c r="D15" t="s">
        <v>35</v>
      </c>
      <c r="E15" t="s">
        <v>35</v>
      </c>
      <c r="F15" t="s">
        <v>43</v>
      </c>
      <c r="G15" t="s">
        <v>14</v>
      </c>
      <c r="H15" t="s">
        <v>17</v>
      </c>
      <c r="I15" t="s">
        <v>44</v>
      </c>
      <c r="J15" t="s">
        <v>18</v>
      </c>
      <c r="K15">
        <v>4</v>
      </c>
      <c r="L15">
        <v>4</v>
      </c>
      <c r="M15">
        <v>500</v>
      </c>
      <c r="N15">
        <v>500</v>
      </c>
      <c r="P15">
        <v>4</v>
      </c>
      <c r="Q15">
        <v>350</v>
      </c>
      <c r="R15" t="s">
        <v>199</v>
      </c>
      <c r="S15">
        <v>2000</v>
      </c>
      <c r="T15">
        <v>1400</v>
      </c>
      <c r="U15">
        <v>600</v>
      </c>
      <c r="V15">
        <v>0.3</v>
      </c>
      <c r="W15" t="s">
        <v>209</v>
      </c>
    </row>
    <row r="16" spans="1:23">
      <c r="A16">
        <v>10067</v>
      </c>
      <c r="B16">
        <v>45346</v>
      </c>
      <c r="C16">
        <v>45346</v>
      </c>
      <c r="D16" t="s">
        <v>45</v>
      </c>
      <c r="E16" t="s">
        <v>40</v>
      </c>
      <c r="F16" t="s">
        <v>46</v>
      </c>
      <c r="G16" t="s">
        <v>46</v>
      </c>
      <c r="H16" t="s">
        <v>38</v>
      </c>
      <c r="I16" t="s">
        <v>39</v>
      </c>
      <c r="J16" t="s">
        <v>252</v>
      </c>
      <c r="K16">
        <v>5</v>
      </c>
      <c r="L16">
        <v>5</v>
      </c>
      <c r="M16">
        <v>500</v>
      </c>
      <c r="N16">
        <v>500</v>
      </c>
      <c r="P16">
        <v>5</v>
      </c>
      <c r="Q16">
        <v>300</v>
      </c>
      <c r="R16" t="s">
        <v>200</v>
      </c>
      <c r="S16">
        <v>2500</v>
      </c>
      <c r="T16">
        <v>1500</v>
      </c>
      <c r="U16">
        <v>1000</v>
      </c>
      <c r="V16">
        <v>0.4</v>
      </c>
      <c r="W16" t="s">
        <v>210</v>
      </c>
    </row>
    <row r="17" spans="1:23">
      <c r="A17">
        <v>10030</v>
      </c>
      <c r="B17">
        <v>45445</v>
      </c>
      <c r="C17">
        <v>45445</v>
      </c>
      <c r="D17" t="s">
        <v>47</v>
      </c>
      <c r="E17" t="s">
        <v>15</v>
      </c>
      <c r="F17" t="s">
        <v>48</v>
      </c>
      <c r="G17" t="s">
        <v>48</v>
      </c>
      <c r="H17" t="s">
        <v>10</v>
      </c>
      <c r="I17" t="s">
        <v>11</v>
      </c>
      <c r="J17" t="s">
        <v>11</v>
      </c>
      <c r="K17">
        <v>15</v>
      </c>
      <c r="L17">
        <v>15</v>
      </c>
      <c r="M17">
        <v>1400</v>
      </c>
      <c r="N17">
        <v>1400</v>
      </c>
      <c r="P17">
        <v>15</v>
      </c>
      <c r="Q17">
        <v>800</v>
      </c>
      <c r="R17" t="s">
        <v>201</v>
      </c>
      <c r="S17">
        <v>21000</v>
      </c>
      <c r="T17">
        <v>12000</v>
      </c>
      <c r="U17">
        <v>9000</v>
      </c>
      <c r="V17">
        <v>0.42857142857142899</v>
      </c>
      <c r="W17" t="s">
        <v>214</v>
      </c>
    </row>
    <row r="18" spans="1:23">
      <c r="A18">
        <v>10109</v>
      </c>
      <c r="B18">
        <v>45597</v>
      </c>
      <c r="C18">
        <v>45597</v>
      </c>
      <c r="D18" t="s">
        <v>45</v>
      </c>
      <c r="E18" t="s">
        <v>40</v>
      </c>
      <c r="F18" t="s">
        <v>49</v>
      </c>
      <c r="G18" t="s">
        <v>48</v>
      </c>
      <c r="H18" t="s">
        <v>50</v>
      </c>
      <c r="I18" t="s">
        <v>51</v>
      </c>
      <c r="J18" t="s">
        <v>254</v>
      </c>
      <c r="K18">
        <v>8</v>
      </c>
      <c r="L18">
        <v>8</v>
      </c>
      <c r="M18">
        <v>1550</v>
      </c>
      <c r="N18">
        <v>1550</v>
      </c>
      <c r="P18">
        <v>8</v>
      </c>
      <c r="Q18">
        <v>900</v>
      </c>
      <c r="R18" t="s">
        <v>200</v>
      </c>
      <c r="S18">
        <v>12400</v>
      </c>
      <c r="T18">
        <v>7200</v>
      </c>
      <c r="U18">
        <v>5200</v>
      </c>
      <c r="V18">
        <v>0.41935483870967699</v>
      </c>
      <c r="W18" t="s">
        <v>219</v>
      </c>
    </row>
    <row r="19" spans="1:23">
      <c r="A19">
        <v>10218</v>
      </c>
      <c r="B19">
        <v>45365</v>
      </c>
      <c r="C19">
        <v>45365</v>
      </c>
      <c r="D19" t="s">
        <v>40</v>
      </c>
      <c r="E19" t="s">
        <v>40</v>
      </c>
      <c r="F19" t="s">
        <v>52</v>
      </c>
      <c r="G19" t="s">
        <v>14</v>
      </c>
      <c r="H19" t="s">
        <v>53</v>
      </c>
      <c r="I19" t="s">
        <v>54</v>
      </c>
      <c r="J19" t="s">
        <v>255</v>
      </c>
      <c r="K19">
        <v>10</v>
      </c>
      <c r="L19">
        <v>10</v>
      </c>
      <c r="M19">
        <v>900</v>
      </c>
      <c r="N19">
        <v>900</v>
      </c>
      <c r="P19">
        <v>10</v>
      </c>
      <c r="Q19">
        <v>600</v>
      </c>
      <c r="R19" t="s">
        <v>200</v>
      </c>
      <c r="S19">
        <v>9000</v>
      </c>
      <c r="T19">
        <v>6000</v>
      </c>
      <c r="U19">
        <v>3000</v>
      </c>
      <c r="V19">
        <v>0.33333333333333298</v>
      </c>
      <c r="W19" t="s">
        <v>211</v>
      </c>
    </row>
    <row r="20" spans="1:23">
      <c r="A20">
        <v>10228</v>
      </c>
      <c r="B20">
        <v>45381</v>
      </c>
      <c r="C20">
        <v>45381</v>
      </c>
      <c r="D20" t="s">
        <v>40</v>
      </c>
      <c r="E20" t="s">
        <v>40</v>
      </c>
      <c r="F20" t="s">
        <v>16</v>
      </c>
      <c r="G20" t="s">
        <v>16</v>
      </c>
      <c r="H20" t="s">
        <v>55</v>
      </c>
      <c r="I20" t="s">
        <v>56</v>
      </c>
      <c r="J20" t="s">
        <v>256</v>
      </c>
      <c r="K20">
        <v>4</v>
      </c>
      <c r="L20">
        <v>4</v>
      </c>
      <c r="M20">
        <v>780</v>
      </c>
      <c r="N20">
        <v>780</v>
      </c>
      <c r="P20">
        <v>4</v>
      </c>
      <c r="Q20">
        <v>480</v>
      </c>
      <c r="R20" t="s">
        <v>200</v>
      </c>
      <c r="S20">
        <v>3120</v>
      </c>
      <c r="T20">
        <v>1920</v>
      </c>
      <c r="U20">
        <v>1200</v>
      </c>
      <c r="V20">
        <v>0.38461538461538503</v>
      </c>
      <c r="W20" t="s">
        <v>211</v>
      </c>
    </row>
    <row r="21" spans="1:23">
      <c r="A21">
        <v>10111</v>
      </c>
      <c r="B21" t="s">
        <v>57</v>
      </c>
      <c r="C21">
        <v>45312</v>
      </c>
      <c r="D21" t="s">
        <v>58</v>
      </c>
      <c r="E21" t="s">
        <v>74</v>
      </c>
      <c r="F21" t="s">
        <v>36</v>
      </c>
      <c r="G21" t="s">
        <v>9</v>
      </c>
      <c r="H21" t="s">
        <v>55</v>
      </c>
      <c r="I21" t="s">
        <v>56</v>
      </c>
      <c r="J21" t="s">
        <v>256</v>
      </c>
      <c r="K21">
        <v>15</v>
      </c>
      <c r="L21">
        <v>15</v>
      </c>
      <c r="M21">
        <v>830</v>
      </c>
      <c r="N21">
        <v>830</v>
      </c>
      <c r="P21">
        <v>15</v>
      </c>
      <c r="Q21">
        <v>480</v>
      </c>
      <c r="R21" t="s">
        <v>200</v>
      </c>
      <c r="S21">
        <v>12450</v>
      </c>
      <c r="T21">
        <v>7200</v>
      </c>
      <c r="U21">
        <v>5250</v>
      </c>
      <c r="V21">
        <v>0.421686746987952</v>
      </c>
      <c r="W21" t="s">
        <v>209</v>
      </c>
    </row>
    <row r="22" spans="1:23">
      <c r="A22">
        <v>10255</v>
      </c>
      <c r="B22">
        <v>45446</v>
      </c>
      <c r="C22">
        <v>45446</v>
      </c>
      <c r="D22" t="s">
        <v>59</v>
      </c>
      <c r="E22" t="s">
        <v>19</v>
      </c>
      <c r="F22" t="s">
        <v>14</v>
      </c>
      <c r="G22" t="s">
        <v>14</v>
      </c>
      <c r="H22" t="s">
        <v>33</v>
      </c>
      <c r="I22" t="s">
        <v>60</v>
      </c>
      <c r="J22" t="s">
        <v>251</v>
      </c>
      <c r="K22">
        <v>20</v>
      </c>
      <c r="L22">
        <v>20</v>
      </c>
      <c r="M22">
        <v>750</v>
      </c>
      <c r="N22">
        <v>750</v>
      </c>
      <c r="P22">
        <v>20</v>
      </c>
      <c r="Q22">
        <v>450</v>
      </c>
      <c r="R22" t="s">
        <v>202</v>
      </c>
      <c r="S22">
        <v>15000</v>
      </c>
      <c r="T22">
        <v>9000</v>
      </c>
      <c r="U22">
        <v>6000</v>
      </c>
      <c r="V22">
        <v>0.4</v>
      </c>
      <c r="W22" t="s">
        <v>214</v>
      </c>
    </row>
    <row r="23" spans="1:23">
      <c r="A23">
        <v>10236</v>
      </c>
      <c r="B23">
        <v>45335</v>
      </c>
      <c r="C23">
        <v>45335</v>
      </c>
      <c r="D23" t="s">
        <v>40</v>
      </c>
      <c r="E23" t="s">
        <v>40</v>
      </c>
      <c r="F23" t="s">
        <v>14</v>
      </c>
      <c r="G23" t="s">
        <v>14</v>
      </c>
      <c r="H23" t="s">
        <v>33</v>
      </c>
      <c r="I23" t="s">
        <v>34</v>
      </c>
      <c r="J23" t="s">
        <v>251</v>
      </c>
      <c r="K23">
        <v>12</v>
      </c>
      <c r="L23">
        <v>12</v>
      </c>
      <c r="M23">
        <v>750</v>
      </c>
      <c r="N23">
        <v>750</v>
      </c>
      <c r="P23">
        <v>12</v>
      </c>
      <c r="Q23">
        <v>450</v>
      </c>
      <c r="R23" t="s">
        <v>202</v>
      </c>
      <c r="S23">
        <v>9000</v>
      </c>
      <c r="T23">
        <v>5400</v>
      </c>
      <c r="U23">
        <v>3600</v>
      </c>
      <c r="V23">
        <v>0.4</v>
      </c>
      <c r="W23" t="s">
        <v>210</v>
      </c>
    </row>
    <row r="24" spans="1:23">
      <c r="A24">
        <v>10055</v>
      </c>
      <c r="B24">
        <v>45378</v>
      </c>
      <c r="C24">
        <v>45378</v>
      </c>
      <c r="D24" t="s">
        <v>35</v>
      </c>
      <c r="E24" t="s">
        <v>35</v>
      </c>
      <c r="F24" t="s">
        <v>62</v>
      </c>
      <c r="G24" t="s">
        <v>62</v>
      </c>
      <c r="H24" t="s">
        <v>10</v>
      </c>
      <c r="I24" t="s">
        <v>11</v>
      </c>
      <c r="J24" t="s">
        <v>11</v>
      </c>
      <c r="K24">
        <v>3</v>
      </c>
      <c r="L24">
        <v>3</v>
      </c>
      <c r="M24">
        <v>1350</v>
      </c>
      <c r="N24">
        <v>1350</v>
      </c>
      <c r="P24">
        <v>3</v>
      </c>
      <c r="Q24">
        <v>800</v>
      </c>
      <c r="R24" t="s">
        <v>201</v>
      </c>
      <c r="S24">
        <v>4050</v>
      </c>
      <c r="T24">
        <v>2400</v>
      </c>
      <c r="U24">
        <v>1650</v>
      </c>
      <c r="V24">
        <v>0.407407407407407</v>
      </c>
      <c r="W24" t="s">
        <v>211</v>
      </c>
    </row>
    <row r="25" spans="1:23">
      <c r="A25">
        <v>10090</v>
      </c>
      <c r="B25">
        <v>45335</v>
      </c>
      <c r="C25">
        <v>45335</v>
      </c>
      <c r="D25" t="s">
        <v>15</v>
      </c>
      <c r="E25" t="s">
        <v>15</v>
      </c>
      <c r="F25" t="s">
        <v>24</v>
      </c>
      <c r="G25" t="s">
        <v>24</v>
      </c>
      <c r="H25" t="s">
        <v>10</v>
      </c>
      <c r="I25" t="s">
        <v>11</v>
      </c>
      <c r="J25" t="s">
        <v>11</v>
      </c>
      <c r="K25">
        <v>3</v>
      </c>
      <c r="L25">
        <v>3</v>
      </c>
      <c r="M25">
        <v>1250</v>
      </c>
      <c r="N25">
        <v>1250</v>
      </c>
      <c r="P25">
        <v>3</v>
      </c>
      <c r="Q25">
        <v>800</v>
      </c>
      <c r="R25" t="s">
        <v>201</v>
      </c>
      <c r="S25">
        <v>3750</v>
      </c>
      <c r="T25">
        <v>2400</v>
      </c>
      <c r="U25">
        <v>1350</v>
      </c>
      <c r="V25">
        <v>0.36</v>
      </c>
      <c r="W25" t="s">
        <v>210</v>
      </c>
    </row>
    <row r="26" spans="1:23">
      <c r="A26">
        <v>10197</v>
      </c>
      <c r="B26">
        <v>45338</v>
      </c>
      <c r="C26">
        <v>45338</v>
      </c>
      <c r="D26" t="s">
        <v>63</v>
      </c>
      <c r="E26" t="s">
        <v>41</v>
      </c>
      <c r="F26" t="s">
        <v>9</v>
      </c>
      <c r="G26" t="s">
        <v>9</v>
      </c>
      <c r="H26" t="s">
        <v>53</v>
      </c>
      <c r="I26" t="s">
        <v>54</v>
      </c>
      <c r="J26" t="s">
        <v>255</v>
      </c>
      <c r="K26">
        <v>1</v>
      </c>
      <c r="L26">
        <v>1</v>
      </c>
      <c r="M26">
        <v>1050</v>
      </c>
      <c r="N26">
        <v>1050</v>
      </c>
      <c r="P26">
        <v>1</v>
      </c>
      <c r="Q26">
        <v>600</v>
      </c>
      <c r="R26" t="s">
        <v>200</v>
      </c>
      <c r="S26">
        <v>1050</v>
      </c>
      <c r="T26">
        <v>600</v>
      </c>
      <c r="U26">
        <v>450</v>
      </c>
      <c r="V26">
        <v>0.42857142857142899</v>
      </c>
      <c r="W26" t="s">
        <v>210</v>
      </c>
    </row>
    <row r="27" spans="1:23">
      <c r="A27">
        <v>10242</v>
      </c>
      <c r="B27">
        <v>45368</v>
      </c>
      <c r="C27">
        <v>45368</v>
      </c>
      <c r="E27" t="s">
        <v>205</v>
      </c>
      <c r="F27" t="s">
        <v>64</v>
      </c>
      <c r="G27" t="s">
        <v>24</v>
      </c>
      <c r="H27" t="s">
        <v>65</v>
      </c>
      <c r="I27" t="s">
        <v>66</v>
      </c>
      <c r="J27" t="s">
        <v>73</v>
      </c>
      <c r="K27">
        <v>20</v>
      </c>
      <c r="L27">
        <v>20</v>
      </c>
      <c r="M27">
        <v>650</v>
      </c>
      <c r="N27">
        <v>650</v>
      </c>
      <c r="P27">
        <v>20</v>
      </c>
      <c r="Q27">
        <v>400</v>
      </c>
      <c r="R27" t="s">
        <v>199</v>
      </c>
      <c r="S27">
        <v>13000</v>
      </c>
      <c r="T27">
        <v>8000</v>
      </c>
      <c r="U27">
        <v>5000</v>
      </c>
      <c r="V27">
        <v>0.38461538461538503</v>
      </c>
      <c r="W27" t="s">
        <v>211</v>
      </c>
    </row>
    <row r="28" spans="1:23">
      <c r="A28">
        <v>10289</v>
      </c>
      <c r="B28" t="s">
        <v>67</v>
      </c>
      <c r="C28">
        <v>45340</v>
      </c>
      <c r="D28" t="s">
        <v>41</v>
      </c>
      <c r="E28" t="s">
        <v>41</v>
      </c>
      <c r="F28" t="s">
        <v>68</v>
      </c>
      <c r="G28" t="s">
        <v>9</v>
      </c>
      <c r="H28" t="s">
        <v>50</v>
      </c>
      <c r="I28" t="s">
        <v>69</v>
      </c>
      <c r="J28" t="s">
        <v>257</v>
      </c>
      <c r="K28">
        <v>1</v>
      </c>
      <c r="L28">
        <v>1</v>
      </c>
      <c r="M28">
        <v>1450</v>
      </c>
      <c r="N28">
        <v>1450</v>
      </c>
      <c r="P28">
        <v>1</v>
      </c>
      <c r="Q28">
        <v>900</v>
      </c>
      <c r="R28" t="s">
        <v>200</v>
      </c>
      <c r="S28">
        <v>1450</v>
      </c>
      <c r="T28">
        <v>900</v>
      </c>
      <c r="U28">
        <v>550</v>
      </c>
      <c r="V28">
        <v>0.37931034482758602</v>
      </c>
      <c r="W28" t="s">
        <v>210</v>
      </c>
    </row>
    <row r="29" spans="1:23">
      <c r="A29">
        <v>10108</v>
      </c>
      <c r="B29">
        <v>45375</v>
      </c>
      <c r="C29">
        <v>45375</v>
      </c>
      <c r="D29" t="s">
        <v>23</v>
      </c>
      <c r="E29" t="s">
        <v>35</v>
      </c>
      <c r="F29" t="s">
        <v>46</v>
      </c>
      <c r="G29" t="s">
        <v>46</v>
      </c>
      <c r="H29" t="s">
        <v>50</v>
      </c>
      <c r="I29" t="s">
        <v>71</v>
      </c>
      <c r="J29" t="s">
        <v>257</v>
      </c>
      <c r="K29">
        <v>6</v>
      </c>
      <c r="L29">
        <v>6</v>
      </c>
      <c r="M29">
        <v>1500</v>
      </c>
      <c r="N29">
        <v>1500</v>
      </c>
      <c r="P29">
        <v>6</v>
      </c>
      <c r="Q29">
        <v>900</v>
      </c>
      <c r="R29" t="s">
        <v>200</v>
      </c>
      <c r="S29">
        <v>9000</v>
      </c>
      <c r="T29">
        <v>5400</v>
      </c>
      <c r="U29">
        <v>3600</v>
      </c>
      <c r="V29">
        <v>0.4</v>
      </c>
      <c r="W29" t="s">
        <v>211</v>
      </c>
    </row>
    <row r="30" spans="1:23">
      <c r="A30">
        <v>10087</v>
      </c>
      <c r="B30">
        <v>45342</v>
      </c>
      <c r="C30">
        <v>45342</v>
      </c>
      <c r="E30" t="s">
        <v>205</v>
      </c>
      <c r="F30" t="s">
        <v>62</v>
      </c>
      <c r="G30" t="s">
        <v>62</v>
      </c>
      <c r="H30" t="s">
        <v>17</v>
      </c>
      <c r="I30" t="s">
        <v>18</v>
      </c>
      <c r="J30" t="s">
        <v>18</v>
      </c>
      <c r="K30">
        <v>4</v>
      </c>
      <c r="L30">
        <v>4</v>
      </c>
      <c r="M30">
        <v>550</v>
      </c>
      <c r="N30">
        <v>550</v>
      </c>
      <c r="P30">
        <v>4</v>
      </c>
      <c r="Q30">
        <v>350</v>
      </c>
      <c r="R30" t="s">
        <v>199</v>
      </c>
      <c r="S30">
        <v>2200</v>
      </c>
      <c r="T30">
        <v>1400</v>
      </c>
      <c r="U30">
        <v>800</v>
      </c>
      <c r="V30">
        <v>0.36363636363636398</v>
      </c>
      <c r="W30" t="s">
        <v>210</v>
      </c>
    </row>
    <row r="31" spans="1:23">
      <c r="A31">
        <v>10263</v>
      </c>
      <c r="B31">
        <v>45328</v>
      </c>
      <c r="C31">
        <v>45328</v>
      </c>
      <c r="D31" t="s">
        <v>29</v>
      </c>
      <c r="E31" t="s">
        <v>40</v>
      </c>
      <c r="F31" t="s">
        <v>46</v>
      </c>
      <c r="G31" t="s">
        <v>46</v>
      </c>
      <c r="H31" t="s">
        <v>53</v>
      </c>
      <c r="I31" t="s">
        <v>72</v>
      </c>
      <c r="J31" t="s">
        <v>255</v>
      </c>
      <c r="K31">
        <v>1</v>
      </c>
      <c r="L31">
        <v>1</v>
      </c>
      <c r="M31">
        <v>950</v>
      </c>
      <c r="N31">
        <v>950</v>
      </c>
      <c r="P31">
        <v>1</v>
      </c>
      <c r="Q31">
        <v>600</v>
      </c>
      <c r="R31" t="s">
        <v>200</v>
      </c>
      <c r="S31">
        <v>950</v>
      </c>
      <c r="T31">
        <v>600</v>
      </c>
      <c r="U31">
        <v>350</v>
      </c>
      <c r="V31">
        <v>0.36842105263157898</v>
      </c>
      <c r="W31" t="s">
        <v>210</v>
      </c>
    </row>
    <row r="32" spans="1:23">
      <c r="A32">
        <v>10038</v>
      </c>
      <c r="B32">
        <v>45376</v>
      </c>
      <c r="C32">
        <v>45376</v>
      </c>
      <c r="D32" t="s">
        <v>58</v>
      </c>
      <c r="E32" t="s">
        <v>74</v>
      </c>
      <c r="F32" t="s">
        <v>16</v>
      </c>
      <c r="G32" t="s">
        <v>16</v>
      </c>
      <c r="H32" t="s">
        <v>33</v>
      </c>
      <c r="I32" t="s">
        <v>60</v>
      </c>
      <c r="J32" t="s">
        <v>251</v>
      </c>
      <c r="K32">
        <v>8</v>
      </c>
      <c r="L32">
        <v>8</v>
      </c>
      <c r="M32">
        <v>700</v>
      </c>
      <c r="N32">
        <v>700</v>
      </c>
      <c r="P32">
        <v>8</v>
      </c>
      <c r="Q32">
        <v>450</v>
      </c>
      <c r="R32" t="s">
        <v>202</v>
      </c>
      <c r="S32">
        <v>5600</v>
      </c>
      <c r="T32">
        <v>3600</v>
      </c>
      <c r="U32">
        <v>2000</v>
      </c>
      <c r="V32">
        <v>0.35714285714285698</v>
      </c>
      <c r="W32" t="s">
        <v>211</v>
      </c>
    </row>
    <row r="33" spans="1:23">
      <c r="A33">
        <v>10148</v>
      </c>
      <c r="B33">
        <v>45299</v>
      </c>
      <c r="C33">
        <v>45299</v>
      </c>
      <c r="D33" t="s">
        <v>19</v>
      </c>
      <c r="E33" t="s">
        <v>19</v>
      </c>
      <c r="F33" t="s">
        <v>48</v>
      </c>
      <c r="G33" t="s">
        <v>48</v>
      </c>
      <c r="H33" t="s">
        <v>65</v>
      </c>
      <c r="I33" t="s">
        <v>73</v>
      </c>
      <c r="J33" t="s">
        <v>73</v>
      </c>
      <c r="K33">
        <v>12</v>
      </c>
      <c r="L33">
        <v>12</v>
      </c>
      <c r="M33">
        <v>750</v>
      </c>
      <c r="N33">
        <v>750</v>
      </c>
      <c r="P33">
        <v>12</v>
      </c>
      <c r="Q33">
        <v>400</v>
      </c>
      <c r="R33" t="s">
        <v>199</v>
      </c>
      <c r="S33">
        <v>9000</v>
      </c>
      <c r="T33">
        <v>4800</v>
      </c>
      <c r="U33">
        <v>4200</v>
      </c>
      <c r="V33">
        <v>0.46666666666666701</v>
      </c>
      <c r="W33" t="s">
        <v>209</v>
      </c>
    </row>
    <row r="34" spans="1:23">
      <c r="A34">
        <v>10180</v>
      </c>
      <c r="B34">
        <v>45382</v>
      </c>
      <c r="C34">
        <v>45382</v>
      </c>
      <c r="D34" t="s">
        <v>19</v>
      </c>
      <c r="E34" t="s">
        <v>19</v>
      </c>
      <c r="F34" t="s">
        <v>48</v>
      </c>
      <c r="G34" t="s">
        <v>48</v>
      </c>
      <c r="H34" t="s">
        <v>53</v>
      </c>
      <c r="I34" t="s">
        <v>72</v>
      </c>
      <c r="J34" t="s">
        <v>255</v>
      </c>
      <c r="K34">
        <v>15</v>
      </c>
      <c r="L34">
        <v>15</v>
      </c>
      <c r="M34">
        <v>950</v>
      </c>
      <c r="N34">
        <v>950</v>
      </c>
      <c r="P34">
        <v>15</v>
      </c>
      <c r="Q34">
        <v>600</v>
      </c>
      <c r="R34" t="s">
        <v>200</v>
      </c>
      <c r="S34">
        <v>14250</v>
      </c>
      <c r="T34">
        <v>9000</v>
      </c>
      <c r="U34">
        <v>5250</v>
      </c>
      <c r="V34">
        <v>0.36842105263157898</v>
      </c>
      <c r="W34" t="s">
        <v>211</v>
      </c>
    </row>
    <row r="35" spans="1:23">
      <c r="A35">
        <v>10027</v>
      </c>
      <c r="B35">
        <v>45296</v>
      </c>
      <c r="C35">
        <v>45296</v>
      </c>
      <c r="D35" t="s">
        <v>74</v>
      </c>
      <c r="E35" t="s">
        <v>74</v>
      </c>
      <c r="F35" t="s">
        <v>48</v>
      </c>
      <c r="G35" t="s">
        <v>48</v>
      </c>
      <c r="H35" t="s">
        <v>25</v>
      </c>
      <c r="I35" t="s">
        <v>75</v>
      </c>
      <c r="J35" t="s">
        <v>26</v>
      </c>
      <c r="K35">
        <v>6</v>
      </c>
      <c r="L35">
        <v>6</v>
      </c>
      <c r="M35">
        <v>470</v>
      </c>
      <c r="N35">
        <v>470</v>
      </c>
      <c r="P35">
        <v>6</v>
      </c>
      <c r="Q35">
        <v>250</v>
      </c>
      <c r="R35" t="s">
        <v>199</v>
      </c>
      <c r="S35">
        <v>2820</v>
      </c>
      <c r="T35">
        <v>1500</v>
      </c>
      <c r="U35">
        <v>1320</v>
      </c>
      <c r="V35">
        <v>0.46808510638297901</v>
      </c>
      <c r="W35" t="s">
        <v>209</v>
      </c>
    </row>
    <row r="36" spans="1:23">
      <c r="A36">
        <v>10276</v>
      </c>
      <c r="B36">
        <v>45310</v>
      </c>
      <c r="C36">
        <v>45310</v>
      </c>
      <c r="D36" t="s">
        <v>15</v>
      </c>
      <c r="E36" t="s">
        <v>15</v>
      </c>
      <c r="F36" t="s">
        <v>9</v>
      </c>
      <c r="G36" t="s">
        <v>9</v>
      </c>
      <c r="H36" t="s">
        <v>77</v>
      </c>
      <c r="I36" t="s">
        <v>78</v>
      </c>
      <c r="J36" t="s">
        <v>207</v>
      </c>
      <c r="K36">
        <v>15</v>
      </c>
      <c r="L36">
        <v>15</v>
      </c>
      <c r="M36">
        <v>1850</v>
      </c>
      <c r="N36">
        <v>1850</v>
      </c>
      <c r="P36">
        <v>15</v>
      </c>
      <c r="Q36">
        <v>1200</v>
      </c>
      <c r="R36" t="s">
        <v>201</v>
      </c>
      <c r="S36">
        <v>27750</v>
      </c>
      <c r="T36">
        <v>18000</v>
      </c>
      <c r="U36">
        <v>9750</v>
      </c>
      <c r="V36">
        <v>0.35135135135135098</v>
      </c>
      <c r="W36" t="s">
        <v>209</v>
      </c>
    </row>
    <row r="37" spans="1:23">
      <c r="A37">
        <v>10184</v>
      </c>
      <c r="B37">
        <v>45308</v>
      </c>
      <c r="C37">
        <v>45308</v>
      </c>
      <c r="D37" t="s">
        <v>79</v>
      </c>
      <c r="E37" t="s">
        <v>19</v>
      </c>
      <c r="F37" t="s">
        <v>80</v>
      </c>
      <c r="G37" t="s">
        <v>81</v>
      </c>
      <c r="H37" t="s">
        <v>10</v>
      </c>
      <c r="I37" t="s">
        <v>11</v>
      </c>
      <c r="J37" t="s">
        <v>11</v>
      </c>
      <c r="K37">
        <v>6</v>
      </c>
      <c r="L37">
        <v>6</v>
      </c>
      <c r="M37">
        <v>1250</v>
      </c>
      <c r="N37">
        <v>1250</v>
      </c>
      <c r="P37">
        <v>6</v>
      </c>
      <c r="Q37">
        <v>800</v>
      </c>
      <c r="R37" t="s">
        <v>201</v>
      </c>
      <c r="S37">
        <v>7500</v>
      </c>
      <c r="T37">
        <v>4800</v>
      </c>
      <c r="U37">
        <v>2700</v>
      </c>
      <c r="V37">
        <v>0.36</v>
      </c>
      <c r="W37" t="s">
        <v>209</v>
      </c>
    </row>
    <row r="38" spans="1:23">
      <c r="A38">
        <v>10062</v>
      </c>
      <c r="B38">
        <v>45375</v>
      </c>
      <c r="C38">
        <v>45375</v>
      </c>
      <c r="D38" t="s">
        <v>15</v>
      </c>
      <c r="E38" t="s">
        <v>15</v>
      </c>
      <c r="F38" t="s">
        <v>81</v>
      </c>
      <c r="G38" t="s">
        <v>81</v>
      </c>
      <c r="H38" t="s">
        <v>17</v>
      </c>
      <c r="I38" t="s">
        <v>18</v>
      </c>
      <c r="J38" t="s">
        <v>18</v>
      </c>
      <c r="K38">
        <v>3</v>
      </c>
      <c r="L38">
        <v>3</v>
      </c>
      <c r="M38">
        <v>650</v>
      </c>
      <c r="N38">
        <v>650</v>
      </c>
      <c r="P38">
        <v>3</v>
      </c>
      <c r="Q38">
        <v>350</v>
      </c>
      <c r="R38" t="s">
        <v>199</v>
      </c>
      <c r="S38">
        <v>1950</v>
      </c>
      <c r="T38">
        <v>1050</v>
      </c>
      <c r="U38">
        <v>900</v>
      </c>
      <c r="V38">
        <v>0.46153846153846201</v>
      </c>
      <c r="W38" t="s">
        <v>211</v>
      </c>
    </row>
    <row r="39" spans="1:23">
      <c r="A39">
        <v>10296</v>
      </c>
      <c r="B39">
        <v>45375</v>
      </c>
      <c r="C39">
        <v>45375</v>
      </c>
      <c r="D39" t="s">
        <v>79</v>
      </c>
      <c r="E39" t="s">
        <v>19</v>
      </c>
      <c r="F39" t="s">
        <v>46</v>
      </c>
      <c r="G39" t="s">
        <v>46</v>
      </c>
      <c r="H39" t="s">
        <v>30</v>
      </c>
      <c r="I39" t="s">
        <v>31</v>
      </c>
      <c r="J39" t="s">
        <v>208</v>
      </c>
      <c r="K39">
        <v>15</v>
      </c>
      <c r="L39">
        <v>15</v>
      </c>
      <c r="M39">
        <v>1650</v>
      </c>
      <c r="N39">
        <v>1650</v>
      </c>
      <c r="P39">
        <v>15</v>
      </c>
      <c r="Q39">
        <v>1100</v>
      </c>
      <c r="R39" t="s">
        <v>202</v>
      </c>
      <c r="S39">
        <v>24750</v>
      </c>
      <c r="T39">
        <v>16500</v>
      </c>
      <c r="U39">
        <v>8250</v>
      </c>
      <c r="V39">
        <v>0.33333333333333298</v>
      </c>
      <c r="W39" t="s">
        <v>211</v>
      </c>
    </row>
    <row r="40" spans="1:23">
      <c r="A40">
        <v>10186</v>
      </c>
      <c r="B40">
        <v>45303</v>
      </c>
      <c r="C40">
        <v>45303</v>
      </c>
      <c r="D40" t="s">
        <v>40</v>
      </c>
      <c r="E40" t="s">
        <v>40</v>
      </c>
      <c r="F40" t="s">
        <v>16</v>
      </c>
      <c r="G40" t="s">
        <v>16</v>
      </c>
      <c r="H40" t="s">
        <v>17</v>
      </c>
      <c r="I40" t="s">
        <v>18</v>
      </c>
      <c r="J40" t="s">
        <v>18</v>
      </c>
      <c r="K40">
        <v>4</v>
      </c>
      <c r="L40">
        <v>4</v>
      </c>
      <c r="M40">
        <v>600</v>
      </c>
      <c r="N40">
        <v>600</v>
      </c>
      <c r="P40">
        <v>4</v>
      </c>
      <c r="Q40">
        <v>350</v>
      </c>
      <c r="R40" t="s">
        <v>199</v>
      </c>
      <c r="S40">
        <v>2400</v>
      </c>
      <c r="T40">
        <v>1400</v>
      </c>
      <c r="U40">
        <v>1000</v>
      </c>
      <c r="V40">
        <v>0.41666666666666702</v>
      </c>
      <c r="W40" t="s">
        <v>209</v>
      </c>
    </row>
    <row r="41" spans="1:23">
      <c r="A41">
        <v>10311</v>
      </c>
      <c r="B41">
        <v>45332</v>
      </c>
      <c r="C41">
        <v>45332</v>
      </c>
      <c r="D41" t="s">
        <v>40</v>
      </c>
      <c r="E41" t="s">
        <v>40</v>
      </c>
      <c r="F41" t="s">
        <v>46</v>
      </c>
      <c r="G41" t="s">
        <v>46</v>
      </c>
      <c r="H41" t="s">
        <v>30</v>
      </c>
      <c r="I41" t="s">
        <v>31</v>
      </c>
      <c r="J41" t="s">
        <v>208</v>
      </c>
      <c r="K41">
        <v>5</v>
      </c>
      <c r="L41">
        <v>5</v>
      </c>
      <c r="M41">
        <v>1800</v>
      </c>
      <c r="N41">
        <v>1800</v>
      </c>
      <c r="P41">
        <v>5</v>
      </c>
      <c r="Q41">
        <v>1100</v>
      </c>
      <c r="R41" t="s">
        <v>202</v>
      </c>
      <c r="S41">
        <v>9000</v>
      </c>
      <c r="T41">
        <v>5500</v>
      </c>
      <c r="U41">
        <v>3500</v>
      </c>
      <c r="V41">
        <v>0.38888888888888901</v>
      </c>
      <c r="W41" t="s">
        <v>210</v>
      </c>
    </row>
    <row r="42" spans="1:23">
      <c r="A42">
        <v>10170</v>
      </c>
      <c r="B42">
        <v>45336</v>
      </c>
      <c r="C42">
        <v>45336</v>
      </c>
      <c r="D42" t="s">
        <v>74</v>
      </c>
      <c r="E42" t="s">
        <v>74</v>
      </c>
      <c r="F42" t="s">
        <v>84</v>
      </c>
      <c r="G42" t="s">
        <v>81</v>
      </c>
      <c r="H42" t="s">
        <v>50</v>
      </c>
      <c r="I42" t="s">
        <v>71</v>
      </c>
      <c r="J42" t="s">
        <v>257</v>
      </c>
      <c r="K42">
        <v>5</v>
      </c>
      <c r="L42">
        <v>5</v>
      </c>
      <c r="M42">
        <v>1500</v>
      </c>
      <c r="N42">
        <v>1500</v>
      </c>
      <c r="P42">
        <v>5</v>
      </c>
      <c r="Q42">
        <v>900</v>
      </c>
      <c r="R42" t="s">
        <v>200</v>
      </c>
      <c r="S42">
        <v>7500</v>
      </c>
      <c r="T42">
        <v>4500</v>
      </c>
      <c r="U42">
        <v>3000</v>
      </c>
      <c r="V42">
        <v>0.4</v>
      </c>
      <c r="W42" t="s">
        <v>210</v>
      </c>
    </row>
    <row r="43" spans="1:23">
      <c r="A43">
        <v>10044</v>
      </c>
      <c r="B43">
        <v>45367</v>
      </c>
      <c r="C43">
        <v>45367</v>
      </c>
      <c r="D43" t="s">
        <v>35</v>
      </c>
      <c r="E43" t="s">
        <v>35</v>
      </c>
      <c r="F43" t="s">
        <v>85</v>
      </c>
      <c r="G43" t="s">
        <v>24</v>
      </c>
      <c r="H43" t="s">
        <v>55</v>
      </c>
      <c r="I43" t="s">
        <v>56</v>
      </c>
      <c r="J43" t="s">
        <v>256</v>
      </c>
      <c r="K43">
        <v>4</v>
      </c>
      <c r="L43">
        <v>4</v>
      </c>
      <c r="M43">
        <v>730</v>
      </c>
      <c r="N43">
        <v>730</v>
      </c>
      <c r="P43">
        <v>4</v>
      </c>
      <c r="Q43">
        <v>480</v>
      </c>
      <c r="R43" t="s">
        <v>200</v>
      </c>
      <c r="S43">
        <v>2920</v>
      </c>
      <c r="T43">
        <v>1920</v>
      </c>
      <c r="U43">
        <v>1000</v>
      </c>
      <c r="V43">
        <v>0.34246575342465801</v>
      </c>
      <c r="W43" t="s">
        <v>211</v>
      </c>
    </row>
    <row r="44" spans="1:23">
      <c r="A44">
        <v>10213</v>
      </c>
      <c r="B44">
        <v>45333</v>
      </c>
      <c r="C44">
        <v>45333</v>
      </c>
      <c r="D44" t="s">
        <v>74</v>
      </c>
      <c r="E44" t="s">
        <v>74</v>
      </c>
      <c r="F44" t="s">
        <v>62</v>
      </c>
      <c r="G44" t="s">
        <v>62</v>
      </c>
      <c r="H44" t="s">
        <v>53</v>
      </c>
      <c r="I44" t="s">
        <v>54</v>
      </c>
      <c r="J44" t="s">
        <v>255</v>
      </c>
      <c r="K44">
        <v>15</v>
      </c>
      <c r="L44">
        <v>15</v>
      </c>
      <c r="M44">
        <v>950</v>
      </c>
      <c r="N44">
        <v>950</v>
      </c>
      <c r="P44">
        <v>15</v>
      </c>
      <c r="Q44">
        <v>600</v>
      </c>
      <c r="R44" t="s">
        <v>200</v>
      </c>
      <c r="S44">
        <v>14250</v>
      </c>
      <c r="T44">
        <v>9000</v>
      </c>
      <c r="U44">
        <v>5250</v>
      </c>
      <c r="V44">
        <v>0.36842105263157898</v>
      </c>
      <c r="W44" t="s">
        <v>210</v>
      </c>
    </row>
    <row r="45" spans="1:23">
      <c r="A45">
        <v>10003</v>
      </c>
      <c r="B45">
        <v>45335</v>
      </c>
      <c r="C45">
        <v>45335</v>
      </c>
      <c r="D45" t="s">
        <v>74</v>
      </c>
      <c r="E45" t="s">
        <v>74</v>
      </c>
      <c r="F45" t="s">
        <v>16</v>
      </c>
      <c r="G45" t="s">
        <v>16</v>
      </c>
      <c r="H45" t="s">
        <v>65</v>
      </c>
      <c r="I45" t="s">
        <v>73</v>
      </c>
      <c r="J45" t="s">
        <v>73</v>
      </c>
      <c r="K45">
        <v>2</v>
      </c>
      <c r="L45">
        <v>2</v>
      </c>
      <c r="M45">
        <v>650</v>
      </c>
      <c r="N45">
        <v>650</v>
      </c>
      <c r="P45">
        <v>2</v>
      </c>
      <c r="Q45">
        <v>400</v>
      </c>
      <c r="R45" t="s">
        <v>199</v>
      </c>
      <c r="S45">
        <v>1300</v>
      </c>
      <c r="T45">
        <v>800</v>
      </c>
      <c r="U45">
        <v>500</v>
      </c>
      <c r="V45">
        <v>0.38461538461538503</v>
      </c>
      <c r="W45" t="s">
        <v>210</v>
      </c>
    </row>
    <row r="46" spans="1:23">
      <c r="A46">
        <v>10284</v>
      </c>
      <c r="B46">
        <v>45358</v>
      </c>
      <c r="C46">
        <v>45358</v>
      </c>
      <c r="D46" t="s">
        <v>40</v>
      </c>
      <c r="E46" t="s">
        <v>40</v>
      </c>
      <c r="F46" t="s">
        <v>86</v>
      </c>
      <c r="G46" t="s">
        <v>46</v>
      </c>
      <c r="H46" t="s">
        <v>55</v>
      </c>
      <c r="I46" t="s">
        <v>56</v>
      </c>
      <c r="J46" t="s">
        <v>256</v>
      </c>
      <c r="K46">
        <v>5</v>
      </c>
      <c r="L46">
        <v>5</v>
      </c>
      <c r="M46">
        <v>880</v>
      </c>
      <c r="N46">
        <v>880</v>
      </c>
      <c r="P46">
        <v>5</v>
      </c>
      <c r="Q46">
        <v>480</v>
      </c>
      <c r="R46" t="s">
        <v>200</v>
      </c>
      <c r="S46">
        <v>4400</v>
      </c>
      <c r="T46">
        <v>2400</v>
      </c>
      <c r="U46">
        <v>2000</v>
      </c>
      <c r="V46">
        <v>0.45454545454545497</v>
      </c>
      <c r="W46" t="s">
        <v>211</v>
      </c>
    </row>
    <row r="47" spans="1:23">
      <c r="A47">
        <v>10125</v>
      </c>
      <c r="B47" t="s">
        <v>87</v>
      </c>
      <c r="C47">
        <v>45309</v>
      </c>
      <c r="D47" t="s">
        <v>29</v>
      </c>
      <c r="E47" t="s">
        <v>40</v>
      </c>
      <c r="F47" t="s">
        <v>88</v>
      </c>
      <c r="G47" t="s">
        <v>24</v>
      </c>
      <c r="H47" t="s">
        <v>10</v>
      </c>
      <c r="I47" t="s">
        <v>11</v>
      </c>
      <c r="J47" t="s">
        <v>11</v>
      </c>
      <c r="K47">
        <v>10</v>
      </c>
      <c r="L47">
        <v>10</v>
      </c>
      <c r="M47">
        <v>1400</v>
      </c>
      <c r="N47">
        <v>1400</v>
      </c>
      <c r="P47">
        <v>10</v>
      </c>
      <c r="Q47">
        <v>800</v>
      </c>
      <c r="R47" t="s">
        <v>201</v>
      </c>
      <c r="S47">
        <v>14000</v>
      </c>
      <c r="T47">
        <v>8000</v>
      </c>
      <c r="U47">
        <v>6000</v>
      </c>
      <c r="V47">
        <v>0.42857142857142899</v>
      </c>
      <c r="W47" t="s">
        <v>209</v>
      </c>
    </row>
    <row r="48" spans="1:23">
      <c r="A48">
        <v>10173</v>
      </c>
      <c r="B48">
        <v>45367</v>
      </c>
      <c r="C48">
        <v>45367</v>
      </c>
      <c r="D48" t="s">
        <v>41</v>
      </c>
      <c r="E48" t="s">
        <v>41</v>
      </c>
      <c r="F48" t="s">
        <v>48</v>
      </c>
      <c r="G48" t="s">
        <v>48</v>
      </c>
      <c r="H48" t="s">
        <v>17</v>
      </c>
      <c r="I48" t="s">
        <v>18</v>
      </c>
      <c r="J48" t="s">
        <v>18</v>
      </c>
      <c r="K48">
        <v>4</v>
      </c>
      <c r="L48">
        <v>4</v>
      </c>
      <c r="M48">
        <v>550</v>
      </c>
      <c r="N48">
        <v>550</v>
      </c>
      <c r="P48">
        <v>4</v>
      </c>
      <c r="Q48">
        <v>350</v>
      </c>
      <c r="R48" t="s">
        <v>199</v>
      </c>
      <c r="S48">
        <v>2200</v>
      </c>
      <c r="T48">
        <v>1400</v>
      </c>
      <c r="U48">
        <v>800</v>
      </c>
      <c r="V48">
        <v>0.36363636363636398</v>
      </c>
      <c r="W48" t="s">
        <v>211</v>
      </c>
    </row>
    <row r="49" spans="1:23">
      <c r="A49">
        <v>10312</v>
      </c>
      <c r="B49">
        <v>45294</v>
      </c>
      <c r="C49">
        <v>45294</v>
      </c>
      <c r="D49" t="s">
        <v>15</v>
      </c>
      <c r="E49" t="s">
        <v>15</v>
      </c>
      <c r="F49" t="s">
        <v>52</v>
      </c>
      <c r="G49" t="s">
        <v>14</v>
      </c>
      <c r="H49" t="s">
        <v>33</v>
      </c>
      <c r="I49" t="s">
        <v>60</v>
      </c>
      <c r="J49" t="s">
        <v>251</v>
      </c>
      <c r="K49">
        <v>5</v>
      </c>
      <c r="L49">
        <v>5</v>
      </c>
      <c r="M49">
        <v>650</v>
      </c>
      <c r="N49">
        <v>650</v>
      </c>
      <c r="P49">
        <v>5</v>
      </c>
      <c r="Q49">
        <v>450</v>
      </c>
      <c r="R49" t="s">
        <v>202</v>
      </c>
      <c r="S49">
        <v>3250</v>
      </c>
      <c r="T49">
        <v>2250</v>
      </c>
      <c r="U49">
        <v>1000</v>
      </c>
      <c r="V49">
        <v>0.30769230769230799</v>
      </c>
      <c r="W49" t="s">
        <v>209</v>
      </c>
    </row>
    <row r="50" spans="1:23">
      <c r="A50">
        <v>10115</v>
      </c>
      <c r="B50">
        <v>45599</v>
      </c>
      <c r="C50">
        <v>45599</v>
      </c>
      <c r="D50" t="s">
        <v>15</v>
      </c>
      <c r="E50" t="s">
        <v>15</v>
      </c>
      <c r="F50" t="s">
        <v>20</v>
      </c>
      <c r="G50" t="s">
        <v>16</v>
      </c>
      <c r="H50" t="s">
        <v>50</v>
      </c>
      <c r="I50" t="s">
        <v>89</v>
      </c>
      <c r="J50" t="s">
        <v>257</v>
      </c>
      <c r="K50">
        <v>5</v>
      </c>
      <c r="L50">
        <v>5</v>
      </c>
      <c r="M50">
        <v>1500</v>
      </c>
      <c r="N50">
        <v>1500</v>
      </c>
      <c r="P50">
        <v>5</v>
      </c>
      <c r="Q50">
        <v>900</v>
      </c>
      <c r="R50" t="s">
        <v>200</v>
      </c>
      <c r="S50">
        <v>7500</v>
      </c>
      <c r="T50">
        <v>4500</v>
      </c>
      <c r="U50">
        <v>3000</v>
      </c>
      <c r="V50">
        <v>0.4</v>
      </c>
      <c r="W50" t="s">
        <v>219</v>
      </c>
    </row>
    <row r="51" spans="1:23">
      <c r="A51">
        <v>10291</v>
      </c>
      <c r="B51">
        <v>45353</v>
      </c>
      <c r="C51">
        <v>45353</v>
      </c>
      <c r="D51" t="s">
        <v>41</v>
      </c>
      <c r="E51" t="s">
        <v>41</v>
      </c>
      <c r="F51" t="s">
        <v>24</v>
      </c>
      <c r="G51" t="s">
        <v>24</v>
      </c>
      <c r="H51" t="s">
        <v>90</v>
      </c>
      <c r="I51" t="s">
        <v>91</v>
      </c>
      <c r="J51" t="s">
        <v>91</v>
      </c>
      <c r="K51">
        <v>15</v>
      </c>
      <c r="L51">
        <v>15</v>
      </c>
      <c r="M51">
        <v>5150</v>
      </c>
      <c r="N51">
        <v>5150</v>
      </c>
      <c r="P51">
        <v>15</v>
      </c>
      <c r="Q51">
        <v>3500</v>
      </c>
      <c r="R51" t="s">
        <v>202</v>
      </c>
      <c r="S51">
        <v>77250</v>
      </c>
      <c r="T51">
        <v>52500</v>
      </c>
      <c r="U51">
        <v>24750</v>
      </c>
      <c r="V51">
        <v>0.32038834951456302</v>
      </c>
      <c r="W51" t="s">
        <v>211</v>
      </c>
    </row>
    <row r="52" spans="1:23">
      <c r="A52">
        <v>10234</v>
      </c>
      <c r="B52">
        <v>45376</v>
      </c>
      <c r="C52">
        <v>45376</v>
      </c>
      <c r="D52" t="s">
        <v>92</v>
      </c>
      <c r="E52" t="s">
        <v>35</v>
      </c>
      <c r="F52" t="s">
        <v>46</v>
      </c>
      <c r="G52" t="s">
        <v>46</v>
      </c>
      <c r="H52" t="s">
        <v>93</v>
      </c>
      <c r="I52" t="s">
        <v>94</v>
      </c>
      <c r="J52" t="s">
        <v>258</v>
      </c>
      <c r="K52">
        <v>20</v>
      </c>
      <c r="L52">
        <v>20</v>
      </c>
      <c r="M52">
        <v>1050</v>
      </c>
      <c r="N52">
        <v>1050</v>
      </c>
      <c r="P52">
        <v>20</v>
      </c>
      <c r="Q52">
        <v>700</v>
      </c>
      <c r="R52" t="s">
        <v>201</v>
      </c>
      <c r="S52">
        <v>21000</v>
      </c>
      <c r="T52">
        <v>14000</v>
      </c>
      <c r="U52">
        <v>7000</v>
      </c>
      <c r="V52">
        <v>0.33333333333333298</v>
      </c>
      <c r="W52" t="s">
        <v>211</v>
      </c>
    </row>
    <row r="53" spans="1:23">
      <c r="A53">
        <v>10335</v>
      </c>
      <c r="B53">
        <v>45374</v>
      </c>
      <c r="C53">
        <v>45374</v>
      </c>
      <c r="D53" t="s">
        <v>95</v>
      </c>
      <c r="E53" t="s">
        <v>35</v>
      </c>
      <c r="F53" t="s">
        <v>62</v>
      </c>
      <c r="G53" t="s">
        <v>62</v>
      </c>
      <c r="H53" t="s">
        <v>30</v>
      </c>
      <c r="I53" t="s">
        <v>31</v>
      </c>
      <c r="J53" t="s">
        <v>208</v>
      </c>
      <c r="K53">
        <v>15</v>
      </c>
      <c r="L53">
        <v>15</v>
      </c>
      <c r="M53">
        <v>1750</v>
      </c>
      <c r="N53">
        <v>1750</v>
      </c>
      <c r="P53">
        <v>15</v>
      </c>
      <c r="Q53">
        <v>1100</v>
      </c>
      <c r="R53" t="s">
        <v>202</v>
      </c>
      <c r="S53">
        <v>26250</v>
      </c>
      <c r="T53">
        <v>16500</v>
      </c>
      <c r="U53">
        <v>9750</v>
      </c>
      <c r="V53">
        <v>0.371428571428571</v>
      </c>
      <c r="W53" t="s">
        <v>211</v>
      </c>
    </row>
    <row r="54" spans="1:23">
      <c r="A54">
        <v>10041</v>
      </c>
      <c r="B54">
        <v>45312</v>
      </c>
      <c r="C54">
        <v>45312</v>
      </c>
      <c r="D54" t="s">
        <v>35</v>
      </c>
      <c r="E54" t="s">
        <v>35</v>
      </c>
      <c r="F54" t="s">
        <v>16</v>
      </c>
      <c r="G54" t="s">
        <v>16</v>
      </c>
      <c r="H54" t="s">
        <v>90</v>
      </c>
      <c r="I54" t="s">
        <v>96</v>
      </c>
      <c r="J54" t="s">
        <v>96</v>
      </c>
      <c r="K54">
        <v>1</v>
      </c>
      <c r="L54">
        <v>1</v>
      </c>
      <c r="M54">
        <v>5200</v>
      </c>
      <c r="N54">
        <v>5200</v>
      </c>
      <c r="P54">
        <v>1</v>
      </c>
      <c r="Q54">
        <v>3500</v>
      </c>
      <c r="R54" t="s">
        <v>202</v>
      </c>
      <c r="S54">
        <v>5200</v>
      </c>
      <c r="T54">
        <v>3500</v>
      </c>
      <c r="U54">
        <v>1700</v>
      </c>
      <c r="V54">
        <v>0.32692307692307698</v>
      </c>
      <c r="W54" t="s">
        <v>209</v>
      </c>
    </row>
    <row r="55" spans="1:23">
      <c r="A55">
        <v>10093</v>
      </c>
      <c r="B55">
        <v>45445</v>
      </c>
      <c r="C55">
        <v>45445</v>
      </c>
      <c r="D55" t="s">
        <v>74</v>
      </c>
      <c r="E55" t="s">
        <v>74</v>
      </c>
      <c r="F55" t="s">
        <v>16</v>
      </c>
      <c r="G55" t="s">
        <v>16</v>
      </c>
      <c r="H55" t="s">
        <v>90</v>
      </c>
      <c r="I55" t="s">
        <v>96</v>
      </c>
      <c r="J55" t="s">
        <v>96</v>
      </c>
      <c r="K55">
        <v>15</v>
      </c>
      <c r="L55">
        <v>15</v>
      </c>
      <c r="M55">
        <v>5300</v>
      </c>
      <c r="N55">
        <v>5300</v>
      </c>
      <c r="P55">
        <v>15</v>
      </c>
      <c r="Q55">
        <v>3500</v>
      </c>
      <c r="R55" t="s">
        <v>202</v>
      </c>
      <c r="S55">
        <v>79500</v>
      </c>
      <c r="T55">
        <v>52500</v>
      </c>
      <c r="U55">
        <v>27000</v>
      </c>
      <c r="V55">
        <v>0.339622641509434</v>
      </c>
      <c r="W55" t="s">
        <v>214</v>
      </c>
    </row>
    <row r="56" spans="1:23">
      <c r="A56">
        <v>10018</v>
      </c>
      <c r="B56">
        <v>45446</v>
      </c>
      <c r="C56">
        <v>45446</v>
      </c>
      <c r="D56" t="s">
        <v>74</v>
      </c>
      <c r="E56" t="s">
        <v>74</v>
      </c>
      <c r="F56" t="s">
        <v>9</v>
      </c>
      <c r="G56" t="s">
        <v>9</v>
      </c>
      <c r="H56" t="s">
        <v>50</v>
      </c>
      <c r="I56" t="s">
        <v>89</v>
      </c>
      <c r="J56" t="s">
        <v>257</v>
      </c>
      <c r="K56">
        <v>15</v>
      </c>
      <c r="L56">
        <v>15</v>
      </c>
      <c r="M56">
        <v>1400</v>
      </c>
      <c r="N56">
        <v>1400</v>
      </c>
      <c r="P56">
        <v>15</v>
      </c>
      <c r="Q56">
        <v>900</v>
      </c>
      <c r="R56" t="s">
        <v>200</v>
      </c>
      <c r="S56">
        <v>21000</v>
      </c>
      <c r="T56">
        <v>13500</v>
      </c>
      <c r="U56">
        <v>7500</v>
      </c>
      <c r="V56">
        <v>0.35714285714285698</v>
      </c>
      <c r="W56" t="s">
        <v>214</v>
      </c>
    </row>
    <row r="57" spans="1:23">
      <c r="A57">
        <v>10209</v>
      </c>
      <c r="B57">
        <v>45337</v>
      </c>
      <c r="C57">
        <v>45337</v>
      </c>
      <c r="E57" t="s">
        <v>205</v>
      </c>
      <c r="F57" t="s">
        <v>81</v>
      </c>
      <c r="G57" t="s">
        <v>81</v>
      </c>
      <c r="H57" t="s">
        <v>25</v>
      </c>
      <c r="I57" t="s">
        <v>97</v>
      </c>
      <c r="J57" t="s">
        <v>97</v>
      </c>
      <c r="K57">
        <v>15</v>
      </c>
      <c r="L57">
        <v>15</v>
      </c>
      <c r="M57">
        <v>520</v>
      </c>
      <c r="N57">
        <v>520</v>
      </c>
      <c r="P57">
        <v>15</v>
      </c>
      <c r="Q57">
        <v>250</v>
      </c>
      <c r="R57" t="s">
        <v>199</v>
      </c>
      <c r="S57">
        <v>7800</v>
      </c>
      <c r="T57">
        <v>3750</v>
      </c>
      <c r="U57">
        <v>4050</v>
      </c>
      <c r="V57">
        <v>0.51923076923076905</v>
      </c>
      <c r="W57" t="s">
        <v>210</v>
      </c>
    </row>
    <row r="58" spans="1:23">
      <c r="A58">
        <v>10298</v>
      </c>
      <c r="B58">
        <v>45358</v>
      </c>
      <c r="C58">
        <v>45358</v>
      </c>
      <c r="D58" t="s">
        <v>98</v>
      </c>
      <c r="E58" t="s">
        <v>74</v>
      </c>
      <c r="F58" t="s">
        <v>16</v>
      </c>
      <c r="G58" t="s">
        <v>16</v>
      </c>
      <c r="H58" t="s">
        <v>21</v>
      </c>
      <c r="I58" t="s">
        <v>99</v>
      </c>
      <c r="J58" t="s">
        <v>22</v>
      </c>
      <c r="K58">
        <v>2</v>
      </c>
      <c r="L58">
        <v>2</v>
      </c>
      <c r="M58">
        <v>2400</v>
      </c>
      <c r="N58">
        <v>2400</v>
      </c>
      <c r="P58">
        <v>2</v>
      </c>
      <c r="Q58">
        <v>1500</v>
      </c>
      <c r="R58" t="s">
        <v>199</v>
      </c>
      <c r="S58">
        <v>4800</v>
      </c>
      <c r="T58">
        <v>3000</v>
      </c>
      <c r="U58">
        <v>1800</v>
      </c>
      <c r="V58">
        <v>0.375</v>
      </c>
      <c r="W58" t="s">
        <v>211</v>
      </c>
    </row>
    <row r="59" spans="1:23">
      <c r="A59">
        <v>10080</v>
      </c>
      <c r="B59">
        <v>45356</v>
      </c>
      <c r="C59">
        <v>45356</v>
      </c>
      <c r="D59" t="s">
        <v>100</v>
      </c>
      <c r="E59" t="s">
        <v>19</v>
      </c>
      <c r="F59" t="s">
        <v>48</v>
      </c>
      <c r="G59" t="s">
        <v>48</v>
      </c>
      <c r="H59" t="s">
        <v>50</v>
      </c>
      <c r="I59" t="s">
        <v>71</v>
      </c>
      <c r="J59" t="s">
        <v>257</v>
      </c>
      <c r="K59">
        <v>2</v>
      </c>
      <c r="L59">
        <v>2</v>
      </c>
      <c r="M59">
        <v>1550</v>
      </c>
      <c r="N59">
        <v>1550</v>
      </c>
      <c r="P59">
        <v>2</v>
      </c>
      <c r="Q59">
        <v>900</v>
      </c>
      <c r="R59" t="s">
        <v>200</v>
      </c>
      <c r="S59">
        <v>3100</v>
      </c>
      <c r="T59">
        <v>1800</v>
      </c>
      <c r="U59">
        <v>1300</v>
      </c>
      <c r="V59">
        <v>0.41935483870967699</v>
      </c>
      <c r="W59" t="s">
        <v>211</v>
      </c>
    </row>
    <row r="60" spans="1:23">
      <c r="A60">
        <v>10099</v>
      </c>
      <c r="B60">
        <v>45378</v>
      </c>
      <c r="C60">
        <v>45378</v>
      </c>
      <c r="D60" t="s">
        <v>101</v>
      </c>
      <c r="E60" t="s">
        <v>40</v>
      </c>
      <c r="F60" t="s">
        <v>102</v>
      </c>
      <c r="G60" t="s">
        <v>14</v>
      </c>
      <c r="H60" t="s">
        <v>38</v>
      </c>
      <c r="I60" t="s">
        <v>39</v>
      </c>
      <c r="J60" t="s">
        <v>252</v>
      </c>
      <c r="K60">
        <v>15</v>
      </c>
      <c r="L60">
        <v>15</v>
      </c>
      <c r="M60">
        <v>500</v>
      </c>
      <c r="N60">
        <v>500</v>
      </c>
      <c r="P60">
        <v>15</v>
      </c>
      <c r="Q60">
        <v>300</v>
      </c>
      <c r="R60" t="s">
        <v>200</v>
      </c>
      <c r="S60">
        <v>7500</v>
      </c>
      <c r="T60">
        <v>4500</v>
      </c>
      <c r="U60">
        <v>3000</v>
      </c>
      <c r="V60">
        <v>0.4</v>
      </c>
      <c r="W60" t="s">
        <v>211</v>
      </c>
    </row>
    <row r="61" spans="1:23">
      <c r="A61">
        <v>10012</v>
      </c>
      <c r="B61">
        <v>45319</v>
      </c>
      <c r="C61">
        <v>45319</v>
      </c>
      <c r="D61" t="s">
        <v>19</v>
      </c>
      <c r="E61" t="s">
        <v>19</v>
      </c>
      <c r="F61" t="s">
        <v>42</v>
      </c>
      <c r="G61" t="s">
        <v>14</v>
      </c>
      <c r="H61" t="s">
        <v>30</v>
      </c>
      <c r="I61" t="s">
        <v>31</v>
      </c>
      <c r="J61" t="s">
        <v>208</v>
      </c>
      <c r="K61">
        <v>5</v>
      </c>
      <c r="L61">
        <v>5</v>
      </c>
      <c r="M61">
        <v>1750</v>
      </c>
      <c r="N61">
        <v>1750</v>
      </c>
      <c r="P61">
        <v>5</v>
      </c>
      <c r="Q61">
        <v>1100</v>
      </c>
      <c r="R61" t="s">
        <v>202</v>
      </c>
      <c r="S61">
        <v>8750</v>
      </c>
      <c r="T61">
        <v>5500</v>
      </c>
      <c r="U61">
        <v>3250</v>
      </c>
      <c r="V61">
        <v>0.371428571428571</v>
      </c>
      <c r="W61" t="s">
        <v>209</v>
      </c>
    </row>
    <row r="62" spans="1:23">
      <c r="A62">
        <v>10246</v>
      </c>
      <c r="B62">
        <v>45312</v>
      </c>
      <c r="C62">
        <v>45312</v>
      </c>
      <c r="D62" t="s">
        <v>74</v>
      </c>
      <c r="E62" t="s">
        <v>74</v>
      </c>
      <c r="F62" t="s">
        <v>81</v>
      </c>
      <c r="G62" t="s">
        <v>81</v>
      </c>
      <c r="H62" t="s">
        <v>21</v>
      </c>
      <c r="I62" t="s">
        <v>103</v>
      </c>
      <c r="J62" t="s">
        <v>22</v>
      </c>
      <c r="K62">
        <v>4</v>
      </c>
      <c r="L62">
        <v>4</v>
      </c>
      <c r="N62">
        <v>0</v>
      </c>
      <c r="P62">
        <v>4</v>
      </c>
      <c r="Q62">
        <v>1500</v>
      </c>
      <c r="R62" t="s">
        <v>199</v>
      </c>
      <c r="S62">
        <v>0</v>
      </c>
      <c r="T62">
        <v>6000</v>
      </c>
      <c r="U62">
        <v>-6000</v>
      </c>
      <c r="V62">
        <v>0</v>
      </c>
      <c r="W62" t="s">
        <v>209</v>
      </c>
    </row>
    <row r="63" spans="1:23">
      <c r="A63">
        <v>10097</v>
      </c>
      <c r="B63">
        <v>45374</v>
      </c>
      <c r="C63">
        <v>45374</v>
      </c>
      <c r="D63" t="s">
        <v>92</v>
      </c>
      <c r="E63" t="s">
        <v>35</v>
      </c>
      <c r="F63" t="s">
        <v>104</v>
      </c>
      <c r="G63" t="s">
        <v>9</v>
      </c>
      <c r="H63" t="s">
        <v>33</v>
      </c>
      <c r="I63" t="s">
        <v>60</v>
      </c>
      <c r="J63" t="s">
        <v>251</v>
      </c>
      <c r="K63">
        <v>20</v>
      </c>
      <c r="L63">
        <v>20</v>
      </c>
      <c r="M63">
        <v>800</v>
      </c>
      <c r="N63">
        <v>800</v>
      </c>
      <c r="P63">
        <v>20</v>
      </c>
      <c r="Q63">
        <v>450</v>
      </c>
      <c r="R63" t="s">
        <v>202</v>
      </c>
      <c r="S63">
        <v>16000</v>
      </c>
      <c r="T63">
        <v>9000</v>
      </c>
      <c r="U63">
        <v>7000</v>
      </c>
      <c r="V63">
        <v>0.4375</v>
      </c>
      <c r="W63" t="s">
        <v>211</v>
      </c>
    </row>
    <row r="64" spans="1:23">
      <c r="A64">
        <v>10337</v>
      </c>
      <c r="B64">
        <v>45303</v>
      </c>
      <c r="C64">
        <v>45303</v>
      </c>
      <c r="D64" t="s">
        <v>47</v>
      </c>
      <c r="E64" t="s">
        <v>15</v>
      </c>
      <c r="F64" t="s">
        <v>105</v>
      </c>
      <c r="G64" t="s">
        <v>48</v>
      </c>
      <c r="H64" t="s">
        <v>93</v>
      </c>
      <c r="I64" t="s">
        <v>94</v>
      </c>
      <c r="J64" t="s">
        <v>258</v>
      </c>
      <c r="K64">
        <v>8</v>
      </c>
      <c r="L64">
        <v>8</v>
      </c>
      <c r="M64">
        <v>1100</v>
      </c>
      <c r="N64">
        <v>1100</v>
      </c>
      <c r="P64">
        <v>8</v>
      </c>
      <c r="Q64">
        <v>700</v>
      </c>
      <c r="R64" t="s">
        <v>201</v>
      </c>
      <c r="S64">
        <v>8800</v>
      </c>
      <c r="T64">
        <v>5600</v>
      </c>
      <c r="U64">
        <v>3200</v>
      </c>
      <c r="V64">
        <v>0.36363636363636398</v>
      </c>
      <c r="W64" t="s">
        <v>209</v>
      </c>
    </row>
    <row r="65" spans="1:23">
      <c r="A65">
        <v>10330</v>
      </c>
      <c r="B65">
        <v>45372</v>
      </c>
      <c r="C65">
        <v>45372</v>
      </c>
      <c r="D65" t="s">
        <v>15</v>
      </c>
      <c r="E65" t="s">
        <v>15</v>
      </c>
      <c r="F65" t="s">
        <v>105</v>
      </c>
      <c r="G65" t="s">
        <v>48</v>
      </c>
      <c r="H65" t="s">
        <v>30</v>
      </c>
      <c r="I65" t="s">
        <v>31</v>
      </c>
      <c r="J65" t="s">
        <v>208</v>
      </c>
      <c r="K65">
        <v>2</v>
      </c>
      <c r="L65">
        <v>2</v>
      </c>
      <c r="M65">
        <v>1800</v>
      </c>
      <c r="N65">
        <v>1800</v>
      </c>
      <c r="P65">
        <v>2</v>
      </c>
      <c r="Q65">
        <v>1100</v>
      </c>
      <c r="R65" t="s">
        <v>202</v>
      </c>
      <c r="S65">
        <v>3600</v>
      </c>
      <c r="T65">
        <v>2200</v>
      </c>
      <c r="U65">
        <v>1400</v>
      </c>
      <c r="V65">
        <v>0.38888888888888901</v>
      </c>
      <c r="W65" t="s">
        <v>211</v>
      </c>
    </row>
    <row r="66" spans="1:23">
      <c r="A66">
        <v>10151</v>
      </c>
      <c r="B66">
        <v>45332</v>
      </c>
      <c r="C66">
        <v>45332</v>
      </c>
      <c r="D66" t="s">
        <v>106</v>
      </c>
      <c r="E66" t="s">
        <v>15</v>
      </c>
      <c r="F66" t="s">
        <v>24</v>
      </c>
      <c r="G66" t="s">
        <v>24</v>
      </c>
      <c r="H66" t="s">
        <v>25</v>
      </c>
      <c r="I66" t="s">
        <v>97</v>
      </c>
      <c r="J66" t="s">
        <v>97</v>
      </c>
      <c r="K66">
        <v>8</v>
      </c>
      <c r="L66">
        <v>8</v>
      </c>
      <c r="M66">
        <v>370</v>
      </c>
      <c r="N66">
        <v>370</v>
      </c>
      <c r="P66">
        <v>8</v>
      </c>
      <c r="Q66">
        <v>250</v>
      </c>
      <c r="R66" t="s">
        <v>199</v>
      </c>
      <c r="S66">
        <v>2960</v>
      </c>
      <c r="T66">
        <v>2000</v>
      </c>
      <c r="U66">
        <v>960</v>
      </c>
      <c r="V66">
        <v>0.32432432432432401</v>
      </c>
      <c r="W66" t="s">
        <v>210</v>
      </c>
    </row>
    <row r="67" spans="1:23">
      <c r="A67">
        <v>10264</v>
      </c>
      <c r="B67">
        <v>45322</v>
      </c>
      <c r="C67">
        <v>45322</v>
      </c>
      <c r="D67" t="s">
        <v>19</v>
      </c>
      <c r="E67" t="s">
        <v>19</v>
      </c>
      <c r="F67" t="s">
        <v>46</v>
      </c>
      <c r="G67" t="s">
        <v>46</v>
      </c>
      <c r="H67" t="s">
        <v>30</v>
      </c>
      <c r="I67" t="s">
        <v>31</v>
      </c>
      <c r="J67" t="s">
        <v>208</v>
      </c>
      <c r="K67">
        <v>20</v>
      </c>
      <c r="L67">
        <v>20</v>
      </c>
      <c r="M67">
        <v>1650</v>
      </c>
      <c r="N67">
        <v>1650</v>
      </c>
      <c r="P67">
        <v>20</v>
      </c>
      <c r="Q67">
        <v>1100</v>
      </c>
      <c r="R67" t="s">
        <v>202</v>
      </c>
      <c r="S67">
        <v>33000</v>
      </c>
      <c r="T67">
        <v>22000</v>
      </c>
      <c r="U67">
        <v>11000</v>
      </c>
      <c r="V67">
        <v>0.33333333333333298</v>
      </c>
      <c r="W67" t="s">
        <v>209</v>
      </c>
    </row>
    <row r="68" spans="1:23">
      <c r="A68">
        <v>10280</v>
      </c>
      <c r="B68">
        <v>45353</v>
      </c>
      <c r="C68">
        <v>45353</v>
      </c>
      <c r="D68" t="s">
        <v>40</v>
      </c>
      <c r="E68" t="s">
        <v>40</v>
      </c>
      <c r="F68" t="s">
        <v>16</v>
      </c>
      <c r="G68" t="s">
        <v>16</v>
      </c>
      <c r="H68" t="s">
        <v>30</v>
      </c>
      <c r="I68" t="s">
        <v>31</v>
      </c>
      <c r="J68" t="s">
        <v>208</v>
      </c>
      <c r="K68">
        <v>2</v>
      </c>
      <c r="L68">
        <v>2</v>
      </c>
      <c r="M68">
        <v>1650</v>
      </c>
      <c r="N68">
        <v>1650</v>
      </c>
      <c r="P68">
        <v>2</v>
      </c>
      <c r="Q68">
        <v>1100</v>
      </c>
      <c r="R68" t="s">
        <v>202</v>
      </c>
      <c r="S68">
        <v>3300</v>
      </c>
      <c r="T68">
        <v>2200</v>
      </c>
      <c r="U68">
        <v>1100</v>
      </c>
      <c r="V68">
        <v>0.33333333333333298</v>
      </c>
      <c r="W68" t="s">
        <v>211</v>
      </c>
    </row>
    <row r="69" spans="1:23">
      <c r="A69">
        <v>10072</v>
      </c>
      <c r="B69" t="s">
        <v>107</v>
      </c>
      <c r="C69">
        <v>45305</v>
      </c>
      <c r="D69" t="s">
        <v>40</v>
      </c>
      <c r="E69" t="s">
        <v>40</v>
      </c>
      <c r="F69" t="s">
        <v>14</v>
      </c>
      <c r="G69" t="s">
        <v>14</v>
      </c>
      <c r="H69" t="s">
        <v>38</v>
      </c>
      <c r="I69" t="s">
        <v>39</v>
      </c>
      <c r="J69" t="s">
        <v>252</v>
      </c>
      <c r="K69">
        <v>1</v>
      </c>
      <c r="L69">
        <v>1</v>
      </c>
      <c r="M69">
        <v>600</v>
      </c>
      <c r="N69">
        <v>600</v>
      </c>
      <c r="P69">
        <v>1</v>
      </c>
      <c r="Q69">
        <v>300</v>
      </c>
      <c r="R69" t="s">
        <v>200</v>
      </c>
      <c r="S69">
        <v>600</v>
      </c>
      <c r="T69">
        <v>300</v>
      </c>
      <c r="U69">
        <v>300</v>
      </c>
      <c r="V69">
        <v>0.5</v>
      </c>
      <c r="W69" t="s">
        <v>209</v>
      </c>
    </row>
    <row r="70" spans="1:23">
      <c r="A70">
        <v>10077</v>
      </c>
      <c r="B70">
        <v>45376</v>
      </c>
      <c r="C70">
        <v>45376</v>
      </c>
      <c r="D70" t="s">
        <v>58</v>
      </c>
      <c r="E70" t="s">
        <v>74</v>
      </c>
      <c r="F70" t="s">
        <v>9</v>
      </c>
      <c r="G70" t="s">
        <v>9</v>
      </c>
      <c r="H70" t="s">
        <v>17</v>
      </c>
      <c r="I70" t="s">
        <v>18</v>
      </c>
      <c r="J70" t="s">
        <v>18</v>
      </c>
      <c r="K70">
        <v>6</v>
      </c>
      <c r="L70">
        <v>6</v>
      </c>
      <c r="N70">
        <v>0</v>
      </c>
      <c r="P70">
        <v>6</v>
      </c>
      <c r="Q70">
        <v>350</v>
      </c>
      <c r="R70" t="s">
        <v>199</v>
      </c>
      <c r="S70">
        <v>0</v>
      </c>
      <c r="T70">
        <v>2100</v>
      </c>
      <c r="U70">
        <v>-2100</v>
      </c>
      <c r="V70">
        <v>0</v>
      </c>
      <c r="W70" t="s">
        <v>211</v>
      </c>
    </row>
    <row r="71" spans="1:23">
      <c r="A71">
        <v>10201</v>
      </c>
      <c r="B71" t="s">
        <v>108</v>
      </c>
      <c r="C71">
        <v>45310</v>
      </c>
      <c r="D71" t="s">
        <v>40</v>
      </c>
      <c r="E71" t="s">
        <v>40</v>
      </c>
      <c r="F71" t="s">
        <v>109</v>
      </c>
      <c r="G71" t="s">
        <v>46</v>
      </c>
      <c r="H71" t="s">
        <v>50</v>
      </c>
      <c r="I71" t="s">
        <v>89</v>
      </c>
      <c r="J71" t="s">
        <v>257</v>
      </c>
      <c r="K71">
        <v>1</v>
      </c>
      <c r="L71">
        <v>1</v>
      </c>
      <c r="M71">
        <v>1450</v>
      </c>
      <c r="N71">
        <v>1450</v>
      </c>
      <c r="P71">
        <v>1</v>
      </c>
      <c r="Q71">
        <v>900</v>
      </c>
      <c r="R71" t="s">
        <v>200</v>
      </c>
      <c r="S71">
        <v>1450</v>
      </c>
      <c r="T71">
        <v>900</v>
      </c>
      <c r="U71">
        <v>550</v>
      </c>
      <c r="V71">
        <v>0.37931034482758602</v>
      </c>
      <c r="W71" t="s">
        <v>209</v>
      </c>
    </row>
    <row r="72" spans="1:23">
      <c r="A72">
        <v>10204</v>
      </c>
      <c r="B72">
        <v>45379</v>
      </c>
      <c r="C72">
        <v>45379</v>
      </c>
      <c r="D72" t="s">
        <v>35</v>
      </c>
      <c r="E72" t="s">
        <v>35</v>
      </c>
      <c r="F72" t="s">
        <v>110</v>
      </c>
      <c r="G72" t="s">
        <v>62</v>
      </c>
      <c r="H72" t="s">
        <v>77</v>
      </c>
      <c r="I72" t="s">
        <v>78</v>
      </c>
      <c r="J72" t="s">
        <v>207</v>
      </c>
      <c r="K72">
        <v>6</v>
      </c>
      <c r="L72">
        <v>6</v>
      </c>
      <c r="M72">
        <v>1850</v>
      </c>
      <c r="N72">
        <v>1850</v>
      </c>
      <c r="P72">
        <v>6</v>
      </c>
      <c r="Q72">
        <v>1200</v>
      </c>
      <c r="R72" t="s">
        <v>201</v>
      </c>
      <c r="S72">
        <v>11100</v>
      </c>
      <c r="T72">
        <v>7200</v>
      </c>
      <c r="U72">
        <v>3900</v>
      </c>
      <c r="V72">
        <v>0.35135135135135098</v>
      </c>
      <c r="W72" t="s">
        <v>211</v>
      </c>
    </row>
    <row r="73" spans="1:23">
      <c r="A73">
        <v>10176</v>
      </c>
      <c r="B73">
        <v>45373</v>
      </c>
      <c r="C73">
        <v>45373</v>
      </c>
      <c r="D73" t="s">
        <v>19</v>
      </c>
      <c r="E73" t="s">
        <v>19</v>
      </c>
      <c r="F73" t="s">
        <v>9</v>
      </c>
      <c r="G73" t="s">
        <v>9</v>
      </c>
      <c r="H73" t="s">
        <v>111</v>
      </c>
      <c r="I73" t="s">
        <v>112</v>
      </c>
      <c r="J73" t="s">
        <v>112</v>
      </c>
      <c r="K73">
        <v>3</v>
      </c>
      <c r="L73">
        <v>3</v>
      </c>
      <c r="M73">
        <v>950</v>
      </c>
      <c r="N73">
        <v>950</v>
      </c>
      <c r="P73">
        <v>3</v>
      </c>
      <c r="Q73">
        <v>550</v>
      </c>
      <c r="R73" t="s">
        <v>201</v>
      </c>
      <c r="S73">
        <v>2850</v>
      </c>
      <c r="T73">
        <v>1650</v>
      </c>
      <c r="U73">
        <v>1200</v>
      </c>
      <c r="V73">
        <v>0.42105263157894701</v>
      </c>
      <c r="W73" t="s">
        <v>211</v>
      </c>
    </row>
    <row r="74" spans="1:23">
      <c r="A74">
        <v>10059</v>
      </c>
      <c r="B74">
        <v>45329</v>
      </c>
      <c r="C74">
        <v>45329</v>
      </c>
      <c r="D74" t="s">
        <v>19</v>
      </c>
      <c r="E74" t="s">
        <v>19</v>
      </c>
      <c r="F74" t="s">
        <v>46</v>
      </c>
      <c r="G74" t="s">
        <v>46</v>
      </c>
      <c r="H74" t="s">
        <v>65</v>
      </c>
      <c r="I74" t="s">
        <v>73</v>
      </c>
      <c r="J74" t="s">
        <v>73</v>
      </c>
      <c r="K74">
        <v>10</v>
      </c>
      <c r="L74">
        <v>10</v>
      </c>
      <c r="M74">
        <v>700</v>
      </c>
      <c r="N74">
        <v>700</v>
      </c>
      <c r="P74">
        <v>10</v>
      </c>
      <c r="Q74">
        <v>400</v>
      </c>
      <c r="R74" t="s">
        <v>199</v>
      </c>
      <c r="S74">
        <v>7000</v>
      </c>
      <c r="T74">
        <v>4000</v>
      </c>
      <c r="U74">
        <v>3000</v>
      </c>
      <c r="V74">
        <v>0.42857142857142899</v>
      </c>
      <c r="W74" t="s">
        <v>210</v>
      </c>
    </row>
    <row r="75" spans="1:23">
      <c r="A75">
        <v>10002</v>
      </c>
      <c r="B75">
        <v>45295</v>
      </c>
      <c r="C75">
        <v>45295</v>
      </c>
      <c r="D75" t="s">
        <v>19</v>
      </c>
      <c r="E75" t="s">
        <v>19</v>
      </c>
      <c r="F75" t="s">
        <v>52</v>
      </c>
      <c r="G75" t="s">
        <v>14</v>
      </c>
      <c r="H75" t="s">
        <v>30</v>
      </c>
      <c r="I75" t="s">
        <v>31</v>
      </c>
      <c r="J75" t="s">
        <v>208</v>
      </c>
      <c r="K75">
        <v>20</v>
      </c>
      <c r="L75">
        <v>20</v>
      </c>
      <c r="M75">
        <v>1800</v>
      </c>
      <c r="N75">
        <v>1800</v>
      </c>
      <c r="P75">
        <v>20</v>
      </c>
      <c r="Q75">
        <v>1100</v>
      </c>
      <c r="R75" t="s">
        <v>202</v>
      </c>
      <c r="S75">
        <v>36000</v>
      </c>
      <c r="T75">
        <v>22000</v>
      </c>
      <c r="U75">
        <v>14000</v>
      </c>
      <c r="V75">
        <v>0.38888888888888901</v>
      </c>
      <c r="W75" t="s">
        <v>209</v>
      </c>
    </row>
    <row r="76" spans="1:23">
      <c r="A76">
        <v>10189</v>
      </c>
      <c r="B76" t="s">
        <v>113</v>
      </c>
      <c r="C76">
        <v>45336</v>
      </c>
      <c r="D76" t="s">
        <v>41</v>
      </c>
      <c r="E76" t="s">
        <v>41</v>
      </c>
      <c r="F76" t="s">
        <v>24</v>
      </c>
      <c r="G76" t="s">
        <v>24</v>
      </c>
      <c r="H76" t="s">
        <v>10</v>
      </c>
      <c r="I76" t="s">
        <v>11</v>
      </c>
      <c r="J76" t="s">
        <v>11</v>
      </c>
      <c r="K76">
        <v>3</v>
      </c>
      <c r="L76">
        <v>3</v>
      </c>
      <c r="M76">
        <v>1300</v>
      </c>
      <c r="N76">
        <v>1300</v>
      </c>
      <c r="P76">
        <v>3</v>
      </c>
      <c r="Q76">
        <v>800</v>
      </c>
      <c r="R76" t="s">
        <v>201</v>
      </c>
      <c r="S76">
        <v>3900</v>
      </c>
      <c r="T76">
        <v>2400</v>
      </c>
      <c r="U76">
        <v>1500</v>
      </c>
      <c r="V76">
        <v>0.38461538461538503</v>
      </c>
      <c r="W76" t="s">
        <v>210</v>
      </c>
    </row>
    <row r="77" spans="1:23">
      <c r="A77">
        <v>10001</v>
      </c>
      <c r="B77">
        <v>45373</v>
      </c>
      <c r="C77">
        <v>45373</v>
      </c>
      <c r="D77" t="s">
        <v>74</v>
      </c>
      <c r="E77" t="s">
        <v>74</v>
      </c>
      <c r="F77" t="s">
        <v>62</v>
      </c>
      <c r="G77" t="s">
        <v>62</v>
      </c>
      <c r="H77" t="s">
        <v>30</v>
      </c>
      <c r="I77" t="s">
        <v>31</v>
      </c>
      <c r="J77" t="s">
        <v>208</v>
      </c>
      <c r="K77">
        <v>5</v>
      </c>
      <c r="L77">
        <v>5</v>
      </c>
      <c r="M77">
        <v>1700</v>
      </c>
      <c r="N77">
        <v>1700</v>
      </c>
      <c r="P77">
        <v>5</v>
      </c>
      <c r="Q77">
        <v>1100</v>
      </c>
      <c r="R77" t="s">
        <v>202</v>
      </c>
      <c r="S77">
        <v>8500</v>
      </c>
      <c r="T77">
        <v>5500</v>
      </c>
      <c r="U77">
        <v>3000</v>
      </c>
      <c r="V77">
        <v>0.35294117647058798</v>
      </c>
      <c r="W77" t="s">
        <v>211</v>
      </c>
    </row>
    <row r="78" spans="1:23">
      <c r="A78">
        <v>10026</v>
      </c>
      <c r="B78">
        <v>45327</v>
      </c>
      <c r="C78">
        <v>45327</v>
      </c>
      <c r="D78" t="s">
        <v>74</v>
      </c>
      <c r="E78" t="s">
        <v>74</v>
      </c>
      <c r="F78" t="s">
        <v>46</v>
      </c>
      <c r="G78" t="s">
        <v>46</v>
      </c>
      <c r="H78" t="s">
        <v>25</v>
      </c>
      <c r="I78" t="s">
        <v>97</v>
      </c>
      <c r="J78" t="s">
        <v>97</v>
      </c>
      <c r="K78">
        <v>20</v>
      </c>
      <c r="L78">
        <v>20</v>
      </c>
      <c r="M78">
        <v>520</v>
      </c>
      <c r="N78">
        <v>520</v>
      </c>
      <c r="P78">
        <v>20</v>
      </c>
      <c r="Q78">
        <v>250</v>
      </c>
      <c r="R78" t="s">
        <v>199</v>
      </c>
      <c r="S78">
        <v>10400</v>
      </c>
      <c r="T78">
        <v>5000</v>
      </c>
      <c r="U78">
        <v>5400</v>
      </c>
      <c r="V78">
        <v>0.51923076923076905</v>
      </c>
      <c r="W78" t="s">
        <v>210</v>
      </c>
    </row>
    <row r="79" spans="1:23">
      <c r="A79">
        <v>10281</v>
      </c>
      <c r="B79">
        <v>45352</v>
      </c>
      <c r="C79">
        <v>45352</v>
      </c>
      <c r="D79" t="s">
        <v>29</v>
      </c>
      <c r="E79" t="s">
        <v>40</v>
      </c>
      <c r="F79" t="s">
        <v>68</v>
      </c>
      <c r="G79" t="s">
        <v>9</v>
      </c>
      <c r="H79" t="s">
        <v>25</v>
      </c>
      <c r="I79" t="s">
        <v>26</v>
      </c>
      <c r="J79" t="s">
        <v>26</v>
      </c>
      <c r="K79">
        <v>8</v>
      </c>
      <c r="L79">
        <v>8</v>
      </c>
      <c r="M79">
        <v>420</v>
      </c>
      <c r="N79">
        <v>420</v>
      </c>
      <c r="P79">
        <v>8</v>
      </c>
      <c r="Q79">
        <v>250</v>
      </c>
      <c r="R79" t="s">
        <v>199</v>
      </c>
      <c r="S79">
        <v>3360</v>
      </c>
      <c r="T79">
        <v>2000</v>
      </c>
      <c r="U79">
        <v>1360</v>
      </c>
      <c r="V79">
        <v>0.40476190476190499</v>
      </c>
      <c r="W79" t="s">
        <v>211</v>
      </c>
    </row>
    <row r="80" spans="1:23">
      <c r="A80">
        <v>10145</v>
      </c>
      <c r="B80">
        <v>45444</v>
      </c>
      <c r="C80">
        <v>45444</v>
      </c>
      <c r="D80" t="s">
        <v>41</v>
      </c>
      <c r="E80" t="s">
        <v>41</v>
      </c>
      <c r="F80" t="s">
        <v>81</v>
      </c>
      <c r="G80" t="s">
        <v>81</v>
      </c>
      <c r="H80" t="s">
        <v>77</v>
      </c>
      <c r="I80" t="s">
        <v>78</v>
      </c>
      <c r="J80" t="s">
        <v>207</v>
      </c>
      <c r="K80">
        <v>12</v>
      </c>
      <c r="L80">
        <v>12</v>
      </c>
      <c r="M80">
        <v>1850</v>
      </c>
      <c r="N80">
        <v>1850</v>
      </c>
      <c r="P80">
        <v>12</v>
      </c>
      <c r="Q80">
        <v>1200</v>
      </c>
      <c r="R80" t="s">
        <v>201</v>
      </c>
      <c r="S80">
        <v>22200</v>
      </c>
      <c r="T80">
        <v>14400</v>
      </c>
      <c r="U80">
        <v>7800</v>
      </c>
      <c r="V80">
        <v>0.35135135135135098</v>
      </c>
      <c r="W80" t="s">
        <v>214</v>
      </c>
    </row>
    <row r="81" spans="1:23">
      <c r="A81">
        <v>10141</v>
      </c>
      <c r="B81">
        <v>45294</v>
      </c>
      <c r="C81">
        <v>45294</v>
      </c>
      <c r="D81" t="s">
        <v>41</v>
      </c>
      <c r="E81" t="s">
        <v>41</v>
      </c>
      <c r="F81" t="s">
        <v>114</v>
      </c>
      <c r="G81" t="s">
        <v>46</v>
      </c>
      <c r="H81" t="s">
        <v>55</v>
      </c>
      <c r="I81" t="s">
        <v>56</v>
      </c>
      <c r="J81" t="s">
        <v>256</v>
      </c>
      <c r="K81">
        <v>1</v>
      </c>
      <c r="L81">
        <v>1</v>
      </c>
      <c r="M81">
        <v>780</v>
      </c>
      <c r="N81">
        <v>780</v>
      </c>
      <c r="P81">
        <v>1</v>
      </c>
      <c r="Q81">
        <v>480</v>
      </c>
      <c r="R81" t="s">
        <v>200</v>
      </c>
      <c r="S81">
        <v>780</v>
      </c>
      <c r="T81">
        <v>480</v>
      </c>
      <c r="U81">
        <v>300</v>
      </c>
      <c r="V81">
        <v>0.38461538461538503</v>
      </c>
      <c r="W81" t="s">
        <v>209</v>
      </c>
    </row>
    <row r="82" spans="1:23">
      <c r="A82">
        <v>10179</v>
      </c>
      <c r="B82">
        <v>45346</v>
      </c>
      <c r="C82">
        <v>45346</v>
      </c>
      <c r="D82" t="s">
        <v>74</v>
      </c>
      <c r="E82" t="s">
        <v>74</v>
      </c>
      <c r="F82" t="s">
        <v>14</v>
      </c>
      <c r="G82" t="s">
        <v>14</v>
      </c>
      <c r="H82" t="s">
        <v>93</v>
      </c>
      <c r="I82" t="s">
        <v>94</v>
      </c>
      <c r="J82" t="s">
        <v>258</v>
      </c>
      <c r="K82">
        <v>1</v>
      </c>
      <c r="L82">
        <v>1</v>
      </c>
      <c r="M82">
        <v>1150</v>
      </c>
      <c r="N82">
        <v>1150</v>
      </c>
      <c r="P82">
        <v>1</v>
      </c>
      <c r="Q82">
        <v>700</v>
      </c>
      <c r="R82" t="s">
        <v>201</v>
      </c>
      <c r="S82">
        <v>1150</v>
      </c>
      <c r="T82">
        <v>700</v>
      </c>
      <c r="U82">
        <v>450</v>
      </c>
      <c r="V82">
        <v>0.39130434782608697</v>
      </c>
      <c r="W82" t="s">
        <v>210</v>
      </c>
    </row>
    <row r="83" spans="1:23">
      <c r="A83">
        <v>10295</v>
      </c>
      <c r="B83">
        <v>45474</v>
      </c>
      <c r="C83">
        <v>45474</v>
      </c>
      <c r="D83" t="s">
        <v>8</v>
      </c>
      <c r="E83" t="s">
        <v>15</v>
      </c>
      <c r="F83" t="s">
        <v>48</v>
      </c>
      <c r="G83" t="s">
        <v>48</v>
      </c>
      <c r="H83" t="s">
        <v>33</v>
      </c>
      <c r="I83" t="s">
        <v>60</v>
      </c>
      <c r="J83" t="s">
        <v>251</v>
      </c>
      <c r="K83">
        <v>1</v>
      </c>
      <c r="L83">
        <v>1</v>
      </c>
      <c r="M83">
        <v>650</v>
      </c>
      <c r="N83">
        <v>650</v>
      </c>
      <c r="P83">
        <v>1</v>
      </c>
      <c r="Q83">
        <v>450</v>
      </c>
      <c r="R83" t="s">
        <v>202</v>
      </c>
      <c r="S83">
        <v>650</v>
      </c>
      <c r="T83">
        <v>450</v>
      </c>
      <c r="U83">
        <v>200</v>
      </c>
      <c r="V83">
        <v>0.30769230769230799</v>
      </c>
      <c r="W83" t="s">
        <v>215</v>
      </c>
    </row>
    <row r="84" spans="1:23">
      <c r="A84">
        <v>10112</v>
      </c>
      <c r="B84">
        <v>45301</v>
      </c>
      <c r="C84">
        <v>45301</v>
      </c>
      <c r="D84" t="s">
        <v>79</v>
      </c>
      <c r="E84" t="s">
        <v>19</v>
      </c>
      <c r="F84" t="s">
        <v>68</v>
      </c>
      <c r="G84" t="s">
        <v>9</v>
      </c>
      <c r="H84" t="s">
        <v>111</v>
      </c>
      <c r="I84" t="s">
        <v>112</v>
      </c>
      <c r="J84" t="s">
        <v>112</v>
      </c>
      <c r="K84">
        <v>6</v>
      </c>
      <c r="L84">
        <v>6</v>
      </c>
      <c r="M84">
        <v>950</v>
      </c>
      <c r="N84">
        <v>950</v>
      </c>
      <c r="P84">
        <v>6</v>
      </c>
      <c r="Q84">
        <v>550</v>
      </c>
      <c r="R84" t="s">
        <v>201</v>
      </c>
      <c r="S84">
        <v>5700</v>
      </c>
      <c r="T84">
        <v>3300</v>
      </c>
      <c r="U84">
        <v>2400</v>
      </c>
      <c r="V84">
        <v>0.42105263157894701</v>
      </c>
      <c r="W84" t="s">
        <v>209</v>
      </c>
    </row>
    <row r="85" spans="1:23">
      <c r="A85">
        <v>10086</v>
      </c>
      <c r="B85">
        <v>45302</v>
      </c>
      <c r="C85">
        <v>45302</v>
      </c>
      <c r="D85" t="s">
        <v>35</v>
      </c>
      <c r="E85" t="s">
        <v>35</v>
      </c>
      <c r="F85" t="s">
        <v>115</v>
      </c>
      <c r="G85" t="s">
        <v>81</v>
      </c>
      <c r="H85" t="s">
        <v>33</v>
      </c>
      <c r="I85" t="s">
        <v>116</v>
      </c>
      <c r="J85" t="s">
        <v>251</v>
      </c>
      <c r="K85">
        <v>8</v>
      </c>
      <c r="L85">
        <v>8</v>
      </c>
      <c r="M85">
        <v>750</v>
      </c>
      <c r="N85">
        <v>750</v>
      </c>
      <c r="P85">
        <v>8</v>
      </c>
      <c r="Q85">
        <v>450</v>
      </c>
      <c r="R85" t="s">
        <v>202</v>
      </c>
      <c r="S85">
        <v>6000</v>
      </c>
      <c r="T85">
        <v>3600</v>
      </c>
      <c r="U85">
        <v>2400</v>
      </c>
      <c r="V85">
        <v>0.4</v>
      </c>
      <c r="W85" t="s">
        <v>209</v>
      </c>
    </row>
    <row r="86" spans="1:23">
      <c r="A86">
        <v>10040</v>
      </c>
      <c r="B86" t="s">
        <v>117</v>
      </c>
      <c r="C86">
        <v>45311</v>
      </c>
      <c r="D86" t="s">
        <v>15</v>
      </c>
      <c r="E86" t="s">
        <v>15</v>
      </c>
      <c r="F86" t="s">
        <v>9</v>
      </c>
      <c r="G86" t="s">
        <v>9</v>
      </c>
      <c r="H86" t="s">
        <v>38</v>
      </c>
      <c r="I86" t="s">
        <v>118</v>
      </c>
      <c r="J86" t="s">
        <v>252</v>
      </c>
      <c r="K86">
        <v>20</v>
      </c>
      <c r="L86">
        <v>20</v>
      </c>
      <c r="M86">
        <v>450</v>
      </c>
      <c r="N86">
        <v>450</v>
      </c>
      <c r="P86">
        <v>20</v>
      </c>
      <c r="Q86">
        <v>300</v>
      </c>
      <c r="R86" t="s">
        <v>200</v>
      </c>
      <c r="S86">
        <v>9000</v>
      </c>
      <c r="T86">
        <v>6000</v>
      </c>
      <c r="U86">
        <v>3000</v>
      </c>
      <c r="V86">
        <v>0.33333333333333298</v>
      </c>
      <c r="W86" t="s">
        <v>209</v>
      </c>
    </row>
    <row r="87" spans="1:23">
      <c r="A87">
        <v>10054</v>
      </c>
      <c r="B87">
        <v>45326</v>
      </c>
      <c r="C87">
        <v>45326</v>
      </c>
      <c r="D87" t="s">
        <v>19</v>
      </c>
      <c r="E87" t="s">
        <v>19</v>
      </c>
      <c r="F87" t="s">
        <v>81</v>
      </c>
      <c r="G87" t="s">
        <v>81</v>
      </c>
      <c r="H87" t="s">
        <v>38</v>
      </c>
      <c r="I87" t="s">
        <v>119</v>
      </c>
      <c r="J87" t="s">
        <v>252</v>
      </c>
      <c r="K87">
        <v>2</v>
      </c>
      <c r="L87">
        <v>2</v>
      </c>
      <c r="M87">
        <v>600</v>
      </c>
      <c r="N87">
        <v>600</v>
      </c>
      <c r="P87">
        <v>2</v>
      </c>
      <c r="Q87">
        <v>300</v>
      </c>
      <c r="R87" t="s">
        <v>200</v>
      </c>
      <c r="S87">
        <v>1200</v>
      </c>
      <c r="T87">
        <v>600</v>
      </c>
      <c r="U87">
        <v>600</v>
      </c>
      <c r="V87">
        <v>0.5</v>
      </c>
      <c r="W87" t="s">
        <v>210</v>
      </c>
    </row>
    <row r="88" spans="1:23">
      <c r="A88">
        <v>10133</v>
      </c>
      <c r="B88">
        <v>45344</v>
      </c>
      <c r="C88">
        <v>45344</v>
      </c>
      <c r="D88" t="s">
        <v>40</v>
      </c>
      <c r="E88" t="s">
        <v>40</v>
      </c>
      <c r="F88" t="s">
        <v>81</v>
      </c>
      <c r="G88" t="s">
        <v>81</v>
      </c>
      <c r="H88" t="s">
        <v>38</v>
      </c>
      <c r="I88" t="s">
        <v>39</v>
      </c>
      <c r="J88" t="s">
        <v>252</v>
      </c>
      <c r="K88">
        <v>20</v>
      </c>
      <c r="L88">
        <v>20</v>
      </c>
      <c r="M88">
        <v>500</v>
      </c>
      <c r="N88">
        <v>500</v>
      </c>
      <c r="P88">
        <v>20</v>
      </c>
      <c r="Q88">
        <v>300</v>
      </c>
      <c r="R88" t="s">
        <v>200</v>
      </c>
      <c r="S88">
        <v>10000</v>
      </c>
      <c r="T88">
        <v>6000</v>
      </c>
      <c r="U88">
        <v>4000</v>
      </c>
      <c r="V88">
        <v>0.4</v>
      </c>
      <c r="W88" t="s">
        <v>210</v>
      </c>
    </row>
    <row r="89" spans="1:23">
      <c r="A89">
        <v>10105</v>
      </c>
      <c r="B89" t="s">
        <v>121</v>
      </c>
      <c r="C89">
        <v>45338</v>
      </c>
      <c r="D89" t="s">
        <v>74</v>
      </c>
      <c r="E89" t="s">
        <v>74</v>
      </c>
      <c r="F89" t="s">
        <v>62</v>
      </c>
      <c r="G89" t="s">
        <v>62</v>
      </c>
      <c r="H89" t="s">
        <v>65</v>
      </c>
      <c r="I89" t="s">
        <v>73</v>
      </c>
      <c r="J89" t="s">
        <v>73</v>
      </c>
      <c r="K89">
        <v>10</v>
      </c>
      <c r="L89">
        <v>10</v>
      </c>
      <c r="M89">
        <v>600</v>
      </c>
      <c r="N89">
        <v>600</v>
      </c>
      <c r="P89">
        <v>10</v>
      </c>
      <c r="Q89">
        <v>400</v>
      </c>
      <c r="R89" t="s">
        <v>199</v>
      </c>
      <c r="S89">
        <v>6000</v>
      </c>
      <c r="T89">
        <v>4000</v>
      </c>
      <c r="U89">
        <v>2000</v>
      </c>
      <c r="V89">
        <v>0.33333333333333298</v>
      </c>
      <c r="W89" t="s">
        <v>210</v>
      </c>
    </row>
    <row r="90" spans="1:23">
      <c r="A90">
        <v>10019</v>
      </c>
      <c r="B90">
        <v>45376</v>
      </c>
      <c r="C90">
        <v>45376</v>
      </c>
      <c r="D90" t="s">
        <v>19</v>
      </c>
      <c r="E90" t="s">
        <v>19</v>
      </c>
      <c r="F90" t="s">
        <v>24</v>
      </c>
      <c r="G90" t="s">
        <v>24</v>
      </c>
      <c r="H90" t="s">
        <v>21</v>
      </c>
      <c r="I90" t="s">
        <v>22</v>
      </c>
      <c r="J90" t="s">
        <v>22</v>
      </c>
      <c r="K90">
        <v>5</v>
      </c>
      <c r="L90">
        <v>5</v>
      </c>
      <c r="M90">
        <v>2300</v>
      </c>
      <c r="N90">
        <v>2300</v>
      </c>
      <c r="P90">
        <v>5</v>
      </c>
      <c r="Q90">
        <v>1500</v>
      </c>
      <c r="R90" t="s">
        <v>199</v>
      </c>
      <c r="S90">
        <v>11500</v>
      </c>
      <c r="T90">
        <v>7500</v>
      </c>
      <c r="U90">
        <v>4000</v>
      </c>
      <c r="V90">
        <v>0.34782608695652201</v>
      </c>
      <c r="W90" t="s">
        <v>211</v>
      </c>
    </row>
    <row r="91" spans="1:23">
      <c r="A91">
        <v>10136</v>
      </c>
      <c r="B91">
        <v>45378</v>
      </c>
      <c r="C91">
        <v>45378</v>
      </c>
      <c r="D91" t="s">
        <v>15</v>
      </c>
      <c r="E91" t="s">
        <v>15</v>
      </c>
      <c r="F91" t="s">
        <v>122</v>
      </c>
      <c r="G91" t="s">
        <v>9</v>
      </c>
      <c r="H91" t="s">
        <v>90</v>
      </c>
      <c r="I91" t="s">
        <v>96</v>
      </c>
      <c r="J91" t="s">
        <v>96</v>
      </c>
      <c r="K91">
        <v>20</v>
      </c>
      <c r="L91">
        <v>20</v>
      </c>
      <c r="M91">
        <v>5250</v>
      </c>
      <c r="N91">
        <v>5250</v>
      </c>
      <c r="P91">
        <v>20</v>
      </c>
      <c r="Q91">
        <v>3500</v>
      </c>
      <c r="R91" t="s">
        <v>202</v>
      </c>
      <c r="S91">
        <v>105000</v>
      </c>
      <c r="T91">
        <v>70000</v>
      </c>
      <c r="U91">
        <v>35000</v>
      </c>
      <c r="V91">
        <v>0.33333333333333298</v>
      </c>
      <c r="W91" t="s">
        <v>211</v>
      </c>
    </row>
    <row r="92" spans="1:23">
      <c r="A92">
        <v>10020</v>
      </c>
      <c r="B92">
        <v>45304</v>
      </c>
      <c r="C92">
        <v>45304</v>
      </c>
      <c r="D92" t="s">
        <v>123</v>
      </c>
      <c r="E92" t="s">
        <v>74</v>
      </c>
      <c r="F92" t="s">
        <v>14</v>
      </c>
      <c r="G92" t="s">
        <v>14</v>
      </c>
      <c r="H92" t="s">
        <v>111</v>
      </c>
      <c r="I92" t="s">
        <v>112</v>
      </c>
      <c r="J92" t="s">
        <v>112</v>
      </c>
      <c r="K92">
        <v>5</v>
      </c>
      <c r="L92">
        <v>5</v>
      </c>
      <c r="M92">
        <v>900</v>
      </c>
      <c r="N92">
        <v>900</v>
      </c>
      <c r="P92">
        <v>5</v>
      </c>
      <c r="Q92">
        <v>550</v>
      </c>
      <c r="R92" t="s">
        <v>201</v>
      </c>
      <c r="S92">
        <v>4500</v>
      </c>
      <c r="T92">
        <v>2750</v>
      </c>
      <c r="U92">
        <v>1750</v>
      </c>
      <c r="V92">
        <v>0.38888888888888901</v>
      </c>
      <c r="W92" t="s">
        <v>209</v>
      </c>
    </row>
    <row r="93" spans="1:23">
      <c r="A93">
        <v>10085</v>
      </c>
      <c r="B93">
        <v>45359</v>
      </c>
      <c r="C93">
        <v>45359</v>
      </c>
      <c r="D93" t="s">
        <v>15</v>
      </c>
      <c r="E93" t="s">
        <v>15</v>
      </c>
      <c r="F93" t="s">
        <v>48</v>
      </c>
      <c r="G93" t="s">
        <v>48</v>
      </c>
      <c r="H93" t="s">
        <v>65</v>
      </c>
      <c r="I93" t="s">
        <v>124</v>
      </c>
      <c r="J93" t="s">
        <v>73</v>
      </c>
      <c r="K93">
        <v>10</v>
      </c>
      <c r="L93">
        <v>10</v>
      </c>
      <c r="M93">
        <v>650</v>
      </c>
      <c r="N93">
        <v>650</v>
      </c>
      <c r="P93">
        <v>10</v>
      </c>
      <c r="Q93">
        <v>400</v>
      </c>
      <c r="R93" t="s">
        <v>199</v>
      </c>
      <c r="S93">
        <v>6500</v>
      </c>
      <c r="T93">
        <v>4000</v>
      </c>
      <c r="U93">
        <v>2500</v>
      </c>
      <c r="V93">
        <v>0.38461538461538503</v>
      </c>
      <c r="W93" t="s">
        <v>211</v>
      </c>
    </row>
    <row r="94" spans="1:23">
      <c r="A94">
        <v>10073</v>
      </c>
      <c r="B94">
        <v>45444</v>
      </c>
      <c r="C94">
        <v>45444</v>
      </c>
      <c r="D94" t="s">
        <v>74</v>
      </c>
      <c r="E94" t="s">
        <v>74</v>
      </c>
      <c r="F94" t="s">
        <v>46</v>
      </c>
      <c r="G94" t="s">
        <v>46</v>
      </c>
      <c r="H94" t="s">
        <v>38</v>
      </c>
      <c r="I94" t="s">
        <v>39</v>
      </c>
      <c r="J94" t="s">
        <v>252</v>
      </c>
      <c r="K94">
        <v>2</v>
      </c>
      <c r="L94">
        <v>2</v>
      </c>
      <c r="M94">
        <v>450</v>
      </c>
      <c r="N94">
        <v>450</v>
      </c>
      <c r="P94">
        <v>2</v>
      </c>
      <c r="Q94">
        <v>300</v>
      </c>
      <c r="R94" t="s">
        <v>200</v>
      </c>
      <c r="S94">
        <v>900</v>
      </c>
      <c r="T94">
        <v>600</v>
      </c>
      <c r="U94">
        <v>300</v>
      </c>
      <c r="V94">
        <v>0.33333333333333298</v>
      </c>
      <c r="W94" t="s">
        <v>214</v>
      </c>
    </row>
    <row r="95" spans="1:23">
      <c r="A95">
        <v>10149</v>
      </c>
      <c r="B95">
        <v>45326</v>
      </c>
      <c r="C95">
        <v>45326</v>
      </c>
      <c r="D95" t="s">
        <v>63</v>
      </c>
      <c r="E95" t="s">
        <v>41</v>
      </c>
      <c r="F95" t="s">
        <v>62</v>
      </c>
      <c r="G95" t="s">
        <v>62</v>
      </c>
      <c r="H95" t="s">
        <v>55</v>
      </c>
      <c r="I95" t="s">
        <v>56</v>
      </c>
      <c r="J95" t="s">
        <v>256</v>
      </c>
      <c r="K95">
        <v>2</v>
      </c>
      <c r="L95">
        <v>2</v>
      </c>
      <c r="M95">
        <v>780</v>
      </c>
      <c r="N95">
        <v>780</v>
      </c>
      <c r="P95">
        <v>2</v>
      </c>
      <c r="Q95">
        <v>480</v>
      </c>
      <c r="R95" t="s">
        <v>200</v>
      </c>
      <c r="S95">
        <v>1560</v>
      </c>
      <c r="T95">
        <v>960</v>
      </c>
      <c r="U95">
        <v>600</v>
      </c>
      <c r="V95">
        <v>0.38461538461538503</v>
      </c>
      <c r="W95" t="s">
        <v>210</v>
      </c>
    </row>
    <row r="96" spans="1:23">
      <c r="A96">
        <v>10022</v>
      </c>
      <c r="B96">
        <v>45353</v>
      </c>
      <c r="C96">
        <v>45353</v>
      </c>
      <c r="D96" t="s">
        <v>79</v>
      </c>
      <c r="E96" t="s">
        <v>19</v>
      </c>
      <c r="F96" t="s">
        <v>80</v>
      </c>
      <c r="G96" t="s">
        <v>81</v>
      </c>
      <c r="H96" t="s">
        <v>93</v>
      </c>
      <c r="I96" t="s">
        <v>125</v>
      </c>
      <c r="J96" t="s">
        <v>258</v>
      </c>
      <c r="K96">
        <v>1</v>
      </c>
      <c r="L96">
        <v>1</v>
      </c>
      <c r="M96">
        <v>1050</v>
      </c>
      <c r="N96">
        <v>1050</v>
      </c>
      <c r="P96">
        <v>1</v>
      </c>
      <c r="Q96">
        <v>700</v>
      </c>
      <c r="R96" t="s">
        <v>201</v>
      </c>
      <c r="S96">
        <v>1050</v>
      </c>
      <c r="T96">
        <v>700</v>
      </c>
      <c r="U96">
        <v>350</v>
      </c>
      <c r="V96">
        <v>0.33333333333333298</v>
      </c>
      <c r="W96" t="s">
        <v>211</v>
      </c>
    </row>
    <row r="97" spans="1:23">
      <c r="A97">
        <v>10006</v>
      </c>
      <c r="B97">
        <v>45299</v>
      </c>
      <c r="C97">
        <v>45299</v>
      </c>
      <c r="D97" t="s">
        <v>15</v>
      </c>
      <c r="E97" t="s">
        <v>15</v>
      </c>
      <c r="F97" t="s">
        <v>62</v>
      </c>
      <c r="G97" t="s">
        <v>62</v>
      </c>
      <c r="H97" t="s">
        <v>10</v>
      </c>
      <c r="I97" t="s">
        <v>11</v>
      </c>
      <c r="J97" t="s">
        <v>11</v>
      </c>
      <c r="K97">
        <v>6</v>
      </c>
      <c r="L97">
        <v>6</v>
      </c>
      <c r="M97">
        <v>1350</v>
      </c>
      <c r="N97">
        <v>1350</v>
      </c>
      <c r="P97">
        <v>6</v>
      </c>
      <c r="Q97">
        <v>800</v>
      </c>
      <c r="R97" t="s">
        <v>201</v>
      </c>
      <c r="S97">
        <v>8100</v>
      </c>
      <c r="T97">
        <v>4800</v>
      </c>
      <c r="U97">
        <v>3300</v>
      </c>
      <c r="V97">
        <v>0.407407407407407</v>
      </c>
      <c r="W97" t="s">
        <v>209</v>
      </c>
    </row>
    <row r="98" spans="1:23">
      <c r="A98">
        <v>10314</v>
      </c>
      <c r="B98">
        <v>45361</v>
      </c>
      <c r="C98">
        <v>45361</v>
      </c>
      <c r="D98" t="s">
        <v>35</v>
      </c>
      <c r="E98" t="s">
        <v>35</v>
      </c>
      <c r="F98" t="s">
        <v>81</v>
      </c>
      <c r="G98" t="s">
        <v>81</v>
      </c>
      <c r="H98" t="s">
        <v>53</v>
      </c>
      <c r="I98" t="s">
        <v>72</v>
      </c>
      <c r="J98" t="s">
        <v>255</v>
      </c>
      <c r="K98">
        <v>12</v>
      </c>
      <c r="L98">
        <v>12</v>
      </c>
      <c r="M98">
        <v>950</v>
      </c>
      <c r="N98">
        <v>950</v>
      </c>
      <c r="P98">
        <v>12</v>
      </c>
      <c r="Q98">
        <v>600</v>
      </c>
      <c r="R98" t="s">
        <v>200</v>
      </c>
      <c r="S98">
        <v>11400</v>
      </c>
      <c r="T98">
        <v>7200</v>
      </c>
      <c r="U98">
        <v>4200</v>
      </c>
      <c r="V98">
        <v>0.36842105263157898</v>
      </c>
      <c r="W98" t="s">
        <v>211</v>
      </c>
    </row>
    <row r="99" spans="1:23">
      <c r="A99">
        <v>10247</v>
      </c>
      <c r="B99">
        <v>45357</v>
      </c>
      <c r="C99">
        <v>45357</v>
      </c>
      <c r="D99" t="s">
        <v>123</v>
      </c>
      <c r="E99" t="s">
        <v>74</v>
      </c>
      <c r="F99" t="s">
        <v>16</v>
      </c>
      <c r="G99" t="s">
        <v>16</v>
      </c>
      <c r="H99" t="s">
        <v>21</v>
      </c>
      <c r="I99" t="s">
        <v>22</v>
      </c>
      <c r="J99" t="s">
        <v>22</v>
      </c>
      <c r="K99">
        <v>5</v>
      </c>
      <c r="L99">
        <v>5</v>
      </c>
      <c r="M99">
        <v>2300</v>
      </c>
      <c r="N99">
        <v>2300</v>
      </c>
      <c r="P99">
        <v>5</v>
      </c>
      <c r="Q99">
        <v>1500</v>
      </c>
      <c r="R99" t="s">
        <v>199</v>
      </c>
      <c r="S99">
        <v>11500</v>
      </c>
      <c r="T99">
        <v>7500</v>
      </c>
      <c r="U99">
        <v>4000</v>
      </c>
      <c r="V99">
        <v>0.34782608695652201</v>
      </c>
      <c r="W99" t="s">
        <v>211</v>
      </c>
    </row>
    <row r="100" spans="1:23">
      <c r="A100">
        <v>10325</v>
      </c>
      <c r="B100">
        <v>45368</v>
      </c>
      <c r="C100">
        <v>45368</v>
      </c>
      <c r="D100" t="s">
        <v>19</v>
      </c>
      <c r="E100" t="s">
        <v>19</v>
      </c>
      <c r="F100" t="s">
        <v>9</v>
      </c>
      <c r="G100" t="s">
        <v>9</v>
      </c>
      <c r="H100" t="s">
        <v>50</v>
      </c>
      <c r="I100" t="s">
        <v>71</v>
      </c>
      <c r="J100" t="s">
        <v>257</v>
      </c>
      <c r="K100">
        <v>12</v>
      </c>
      <c r="L100">
        <v>12</v>
      </c>
      <c r="M100">
        <v>1450</v>
      </c>
      <c r="N100">
        <v>1450</v>
      </c>
      <c r="P100">
        <v>12</v>
      </c>
      <c r="Q100">
        <v>900</v>
      </c>
      <c r="R100" t="s">
        <v>200</v>
      </c>
      <c r="S100">
        <v>17400</v>
      </c>
      <c r="T100">
        <v>10800</v>
      </c>
      <c r="U100">
        <v>6600</v>
      </c>
      <c r="V100">
        <v>0.37931034482758602</v>
      </c>
      <c r="W100" t="s">
        <v>211</v>
      </c>
    </row>
    <row r="101" spans="1:23">
      <c r="A101">
        <v>10283</v>
      </c>
      <c r="B101">
        <v>45354</v>
      </c>
      <c r="C101">
        <v>45354</v>
      </c>
      <c r="D101" t="s">
        <v>47</v>
      </c>
      <c r="E101" t="s">
        <v>15</v>
      </c>
      <c r="F101" t="s">
        <v>16</v>
      </c>
      <c r="G101" t="s">
        <v>16</v>
      </c>
      <c r="H101" t="s">
        <v>93</v>
      </c>
      <c r="I101" t="s">
        <v>94</v>
      </c>
      <c r="J101" t="s">
        <v>258</v>
      </c>
      <c r="K101">
        <v>6</v>
      </c>
      <c r="L101">
        <v>6</v>
      </c>
      <c r="M101">
        <v>1100</v>
      </c>
      <c r="N101">
        <v>1100</v>
      </c>
      <c r="P101">
        <v>6</v>
      </c>
      <c r="Q101">
        <v>700</v>
      </c>
      <c r="R101" t="s">
        <v>201</v>
      </c>
      <c r="S101">
        <v>6600</v>
      </c>
      <c r="T101">
        <v>4200</v>
      </c>
      <c r="U101">
        <v>2400</v>
      </c>
      <c r="V101">
        <v>0.36363636363636398</v>
      </c>
      <c r="W101" t="s">
        <v>211</v>
      </c>
    </row>
    <row r="102" spans="1:23">
      <c r="A102">
        <v>10066</v>
      </c>
      <c r="B102">
        <v>45355</v>
      </c>
      <c r="C102">
        <v>45355</v>
      </c>
      <c r="D102" t="s">
        <v>100</v>
      </c>
      <c r="E102" t="s">
        <v>19</v>
      </c>
      <c r="F102" t="s">
        <v>104</v>
      </c>
      <c r="G102" t="s">
        <v>9</v>
      </c>
      <c r="H102" t="s">
        <v>77</v>
      </c>
      <c r="I102" t="s">
        <v>78</v>
      </c>
      <c r="J102" t="s">
        <v>207</v>
      </c>
      <c r="K102">
        <v>10</v>
      </c>
      <c r="L102">
        <v>10</v>
      </c>
      <c r="M102">
        <v>1850</v>
      </c>
      <c r="N102">
        <v>1850</v>
      </c>
      <c r="P102">
        <v>10</v>
      </c>
      <c r="Q102">
        <v>1200</v>
      </c>
      <c r="R102" t="s">
        <v>201</v>
      </c>
      <c r="S102">
        <v>18500</v>
      </c>
      <c r="T102">
        <v>12000</v>
      </c>
      <c r="U102">
        <v>6500</v>
      </c>
      <c r="V102">
        <v>0.35135135135135098</v>
      </c>
      <c r="W102" t="s">
        <v>211</v>
      </c>
    </row>
    <row r="103" spans="1:23">
      <c r="A103">
        <v>10120</v>
      </c>
      <c r="B103">
        <v>45332</v>
      </c>
      <c r="C103">
        <v>45332</v>
      </c>
      <c r="D103" t="s">
        <v>101</v>
      </c>
      <c r="E103" t="s">
        <v>40</v>
      </c>
      <c r="F103" t="s">
        <v>24</v>
      </c>
      <c r="G103" t="s">
        <v>24</v>
      </c>
      <c r="H103" t="s">
        <v>30</v>
      </c>
      <c r="I103" t="s">
        <v>127</v>
      </c>
      <c r="J103" t="s">
        <v>208</v>
      </c>
      <c r="K103">
        <v>6</v>
      </c>
      <c r="L103">
        <v>6</v>
      </c>
      <c r="M103">
        <v>1750</v>
      </c>
      <c r="N103">
        <v>1750</v>
      </c>
      <c r="P103">
        <v>6</v>
      </c>
      <c r="Q103">
        <v>1100</v>
      </c>
      <c r="R103" t="s">
        <v>202</v>
      </c>
      <c r="S103">
        <v>10500</v>
      </c>
      <c r="T103">
        <v>6600</v>
      </c>
      <c r="U103">
        <v>3900</v>
      </c>
      <c r="V103">
        <v>0.371428571428571</v>
      </c>
      <c r="W103" t="s">
        <v>210</v>
      </c>
    </row>
    <row r="104" spans="1:23">
      <c r="A104">
        <v>10210</v>
      </c>
      <c r="B104">
        <v>45359</v>
      </c>
      <c r="C104">
        <v>45359</v>
      </c>
      <c r="D104" t="s">
        <v>35</v>
      </c>
      <c r="E104" t="s">
        <v>35</v>
      </c>
      <c r="F104" t="s">
        <v>14</v>
      </c>
      <c r="G104" t="s">
        <v>14</v>
      </c>
      <c r="H104" t="s">
        <v>53</v>
      </c>
      <c r="I104" t="s">
        <v>72</v>
      </c>
      <c r="J104" t="s">
        <v>255</v>
      </c>
      <c r="K104">
        <v>2</v>
      </c>
      <c r="L104">
        <v>2</v>
      </c>
      <c r="M104">
        <v>950</v>
      </c>
      <c r="N104">
        <v>950</v>
      </c>
      <c r="P104">
        <v>2</v>
      </c>
      <c r="Q104">
        <v>600</v>
      </c>
      <c r="R104" t="s">
        <v>200</v>
      </c>
      <c r="S104">
        <v>1900</v>
      </c>
      <c r="T104">
        <v>1200</v>
      </c>
      <c r="U104">
        <v>700</v>
      </c>
      <c r="V104">
        <v>0.36842105263157898</v>
      </c>
      <c r="W104" t="s">
        <v>211</v>
      </c>
    </row>
    <row r="105" spans="1:23">
      <c r="A105">
        <v>10207</v>
      </c>
      <c r="B105">
        <v>45342</v>
      </c>
      <c r="C105">
        <v>45342</v>
      </c>
      <c r="D105" t="s">
        <v>63</v>
      </c>
      <c r="E105" t="s">
        <v>41</v>
      </c>
      <c r="F105" t="s">
        <v>62</v>
      </c>
      <c r="G105" t="s">
        <v>62</v>
      </c>
      <c r="H105" t="s">
        <v>65</v>
      </c>
      <c r="I105" t="s">
        <v>73</v>
      </c>
      <c r="J105" t="s">
        <v>73</v>
      </c>
      <c r="K105">
        <v>20</v>
      </c>
      <c r="L105">
        <v>20</v>
      </c>
      <c r="M105">
        <v>700</v>
      </c>
      <c r="N105">
        <v>700</v>
      </c>
      <c r="P105">
        <v>20</v>
      </c>
      <c r="Q105">
        <v>400</v>
      </c>
      <c r="R105" t="s">
        <v>199</v>
      </c>
      <c r="S105">
        <v>14000</v>
      </c>
      <c r="T105">
        <v>8000</v>
      </c>
      <c r="U105">
        <v>6000</v>
      </c>
      <c r="V105">
        <v>0.42857142857142899</v>
      </c>
      <c r="W105" t="s">
        <v>210</v>
      </c>
    </row>
    <row r="106" spans="1:23">
      <c r="A106">
        <v>10154</v>
      </c>
      <c r="B106">
        <v>45371</v>
      </c>
      <c r="C106">
        <v>45371</v>
      </c>
      <c r="D106" t="s">
        <v>40</v>
      </c>
      <c r="E106" t="s">
        <v>40</v>
      </c>
      <c r="F106" t="s">
        <v>81</v>
      </c>
      <c r="G106" t="s">
        <v>81</v>
      </c>
      <c r="H106" t="s">
        <v>33</v>
      </c>
      <c r="I106" t="s">
        <v>60</v>
      </c>
      <c r="J106" t="s">
        <v>251</v>
      </c>
      <c r="L106">
        <v>0</v>
      </c>
      <c r="M106">
        <v>650</v>
      </c>
      <c r="N106">
        <v>650</v>
      </c>
      <c r="P106">
        <v>0</v>
      </c>
      <c r="Q106">
        <v>450</v>
      </c>
      <c r="R106" t="s">
        <v>202</v>
      </c>
      <c r="S106">
        <v>0</v>
      </c>
      <c r="T106">
        <v>0</v>
      </c>
      <c r="U106">
        <v>0</v>
      </c>
      <c r="V106">
        <v>0</v>
      </c>
      <c r="W106" t="s">
        <v>211</v>
      </c>
    </row>
    <row r="107" spans="1:23">
      <c r="A107">
        <v>10277</v>
      </c>
      <c r="B107">
        <v>45329</v>
      </c>
      <c r="C107">
        <v>45329</v>
      </c>
      <c r="D107" t="s">
        <v>40</v>
      </c>
      <c r="E107" t="s">
        <v>40</v>
      </c>
      <c r="F107" t="s">
        <v>16</v>
      </c>
      <c r="G107" t="s">
        <v>16</v>
      </c>
      <c r="H107" t="s">
        <v>93</v>
      </c>
      <c r="I107" t="s">
        <v>94</v>
      </c>
      <c r="J107" t="s">
        <v>258</v>
      </c>
      <c r="K107">
        <v>2</v>
      </c>
      <c r="L107">
        <v>2</v>
      </c>
      <c r="M107">
        <v>1100</v>
      </c>
      <c r="N107">
        <v>1100</v>
      </c>
      <c r="P107">
        <v>2</v>
      </c>
      <c r="Q107">
        <v>700</v>
      </c>
      <c r="R107" t="s">
        <v>201</v>
      </c>
      <c r="S107">
        <v>2200</v>
      </c>
      <c r="T107">
        <v>1400</v>
      </c>
      <c r="U107">
        <v>800</v>
      </c>
      <c r="V107">
        <v>0.36363636363636398</v>
      </c>
      <c r="W107" t="s">
        <v>210</v>
      </c>
    </row>
    <row r="108" spans="1:23">
      <c r="A108">
        <v>10161</v>
      </c>
      <c r="B108">
        <v>45340</v>
      </c>
      <c r="C108">
        <v>45340</v>
      </c>
      <c r="D108" t="s">
        <v>45</v>
      </c>
      <c r="E108" t="s">
        <v>40</v>
      </c>
      <c r="F108" t="s">
        <v>104</v>
      </c>
      <c r="G108" t="s">
        <v>9</v>
      </c>
      <c r="H108" t="s">
        <v>30</v>
      </c>
      <c r="I108" t="s">
        <v>31</v>
      </c>
      <c r="J108" t="s">
        <v>208</v>
      </c>
      <c r="K108">
        <v>8</v>
      </c>
      <c r="L108">
        <v>8</v>
      </c>
      <c r="M108">
        <v>1700</v>
      </c>
      <c r="N108">
        <v>1700</v>
      </c>
      <c r="P108">
        <v>8</v>
      </c>
      <c r="Q108">
        <v>1100</v>
      </c>
      <c r="R108" t="s">
        <v>202</v>
      </c>
      <c r="S108">
        <v>13600</v>
      </c>
      <c r="T108">
        <v>8800</v>
      </c>
      <c r="U108">
        <v>4800</v>
      </c>
      <c r="V108">
        <v>0.35294117647058798</v>
      </c>
      <c r="W108" t="s">
        <v>210</v>
      </c>
    </row>
    <row r="109" spans="1:23">
      <c r="A109">
        <v>10262</v>
      </c>
      <c r="B109">
        <v>45377</v>
      </c>
      <c r="C109">
        <v>45377</v>
      </c>
      <c r="D109" t="s">
        <v>101</v>
      </c>
      <c r="E109" t="s">
        <v>40</v>
      </c>
      <c r="F109" t="s">
        <v>48</v>
      </c>
      <c r="G109" t="s">
        <v>48</v>
      </c>
      <c r="H109" t="s">
        <v>33</v>
      </c>
      <c r="I109" t="s">
        <v>60</v>
      </c>
      <c r="J109" t="s">
        <v>251</v>
      </c>
      <c r="K109">
        <v>-12</v>
      </c>
      <c r="L109">
        <v>-12</v>
      </c>
      <c r="M109">
        <v>700</v>
      </c>
      <c r="N109">
        <v>700</v>
      </c>
      <c r="O109" t="s">
        <v>253</v>
      </c>
      <c r="P109">
        <v>12</v>
      </c>
      <c r="Q109">
        <v>450</v>
      </c>
      <c r="R109" t="s">
        <v>202</v>
      </c>
      <c r="S109">
        <v>8400</v>
      </c>
      <c r="T109">
        <v>5400</v>
      </c>
      <c r="U109">
        <v>3000</v>
      </c>
      <c r="V109">
        <v>0.35714285714285698</v>
      </c>
      <c r="W109" t="s">
        <v>211</v>
      </c>
    </row>
    <row r="110" spans="1:23">
      <c r="A110">
        <v>10082</v>
      </c>
      <c r="B110">
        <v>45307</v>
      </c>
      <c r="C110">
        <v>45307</v>
      </c>
      <c r="D110" t="s">
        <v>41</v>
      </c>
      <c r="E110" t="s">
        <v>41</v>
      </c>
      <c r="F110" t="s">
        <v>24</v>
      </c>
      <c r="G110" t="s">
        <v>24</v>
      </c>
      <c r="H110" t="s">
        <v>55</v>
      </c>
      <c r="I110" t="s">
        <v>56</v>
      </c>
      <c r="J110" t="s">
        <v>256</v>
      </c>
      <c r="K110">
        <v>20</v>
      </c>
      <c r="L110">
        <v>20</v>
      </c>
      <c r="M110">
        <v>830</v>
      </c>
      <c r="N110">
        <v>830</v>
      </c>
      <c r="P110">
        <v>20</v>
      </c>
      <c r="Q110">
        <v>480</v>
      </c>
      <c r="R110" t="s">
        <v>200</v>
      </c>
      <c r="S110">
        <v>16600</v>
      </c>
      <c r="T110">
        <v>9600</v>
      </c>
      <c r="U110">
        <v>7000</v>
      </c>
      <c r="V110">
        <v>0.421686746987952</v>
      </c>
      <c r="W110" t="s">
        <v>209</v>
      </c>
    </row>
    <row r="111" spans="1:23">
      <c r="A111">
        <v>10206</v>
      </c>
      <c r="B111">
        <v>45294</v>
      </c>
      <c r="C111">
        <v>45294</v>
      </c>
      <c r="D111" t="s">
        <v>74</v>
      </c>
      <c r="E111" t="s">
        <v>74</v>
      </c>
      <c r="F111" t="s">
        <v>14</v>
      </c>
      <c r="G111" t="s">
        <v>14</v>
      </c>
      <c r="H111" t="s">
        <v>21</v>
      </c>
      <c r="I111" t="s">
        <v>22</v>
      </c>
      <c r="J111" t="s">
        <v>22</v>
      </c>
      <c r="K111">
        <v>20</v>
      </c>
      <c r="L111">
        <v>20</v>
      </c>
      <c r="M111">
        <v>2350</v>
      </c>
      <c r="N111">
        <v>2350</v>
      </c>
      <c r="P111">
        <v>20</v>
      </c>
      <c r="Q111">
        <v>1500</v>
      </c>
      <c r="R111" t="s">
        <v>199</v>
      </c>
      <c r="S111">
        <v>47000</v>
      </c>
      <c r="T111">
        <v>30000</v>
      </c>
      <c r="U111">
        <v>17000</v>
      </c>
      <c r="V111">
        <v>0.36170212765957399</v>
      </c>
      <c r="W111" t="s">
        <v>209</v>
      </c>
    </row>
    <row r="112" spans="1:23">
      <c r="A112">
        <v>10091</v>
      </c>
      <c r="B112">
        <v>45310</v>
      </c>
      <c r="C112">
        <v>45310</v>
      </c>
      <c r="D112" t="s">
        <v>35</v>
      </c>
      <c r="E112" t="s">
        <v>35</v>
      </c>
      <c r="F112" t="s">
        <v>14</v>
      </c>
      <c r="G112" t="s">
        <v>14</v>
      </c>
      <c r="H112" t="s">
        <v>53</v>
      </c>
      <c r="I112" t="s">
        <v>72</v>
      </c>
      <c r="J112" t="s">
        <v>255</v>
      </c>
      <c r="K112">
        <v>15</v>
      </c>
      <c r="L112">
        <v>15</v>
      </c>
      <c r="M112">
        <v>950</v>
      </c>
      <c r="N112">
        <v>950</v>
      </c>
      <c r="P112">
        <v>15</v>
      </c>
      <c r="Q112">
        <v>600</v>
      </c>
      <c r="R112" t="s">
        <v>200</v>
      </c>
      <c r="S112">
        <v>14250</v>
      </c>
      <c r="T112">
        <v>9000</v>
      </c>
      <c r="U112">
        <v>5250</v>
      </c>
      <c r="V112">
        <v>0.36842105263157898</v>
      </c>
      <c r="W112" t="s">
        <v>209</v>
      </c>
    </row>
    <row r="113" spans="1:23">
      <c r="A113">
        <v>10015</v>
      </c>
      <c r="B113">
        <v>45293</v>
      </c>
      <c r="C113">
        <v>45293</v>
      </c>
      <c r="D113" t="s">
        <v>15</v>
      </c>
      <c r="E113" t="s">
        <v>15</v>
      </c>
      <c r="F113" t="s">
        <v>14</v>
      </c>
      <c r="G113" t="s">
        <v>14</v>
      </c>
      <c r="H113" t="s">
        <v>111</v>
      </c>
      <c r="I113" t="s">
        <v>129</v>
      </c>
      <c r="J113" t="s">
        <v>112</v>
      </c>
      <c r="K113">
        <v>10</v>
      </c>
      <c r="L113">
        <v>10</v>
      </c>
      <c r="M113">
        <v>900</v>
      </c>
      <c r="N113">
        <v>900</v>
      </c>
      <c r="P113">
        <v>10</v>
      </c>
      <c r="Q113">
        <v>550</v>
      </c>
      <c r="R113" t="s">
        <v>201</v>
      </c>
      <c r="S113">
        <v>9000</v>
      </c>
      <c r="T113">
        <v>5500</v>
      </c>
      <c r="U113">
        <v>3500</v>
      </c>
      <c r="V113">
        <v>0.38888888888888901</v>
      </c>
      <c r="W113" t="s">
        <v>209</v>
      </c>
    </row>
    <row r="114" spans="1:23">
      <c r="A114">
        <v>10315</v>
      </c>
      <c r="B114">
        <v>45321</v>
      </c>
      <c r="C114">
        <v>45321</v>
      </c>
      <c r="D114" t="s">
        <v>74</v>
      </c>
      <c r="E114" t="s">
        <v>74</v>
      </c>
      <c r="F114" t="s">
        <v>80</v>
      </c>
      <c r="G114" t="s">
        <v>81</v>
      </c>
      <c r="H114" t="s">
        <v>93</v>
      </c>
      <c r="I114" t="s">
        <v>94</v>
      </c>
      <c r="J114" t="s">
        <v>258</v>
      </c>
      <c r="K114">
        <v>-6</v>
      </c>
      <c r="L114">
        <v>-6</v>
      </c>
      <c r="M114">
        <v>1150</v>
      </c>
      <c r="N114">
        <v>1150</v>
      </c>
      <c r="O114" t="s">
        <v>253</v>
      </c>
      <c r="P114">
        <v>6</v>
      </c>
      <c r="Q114">
        <v>700</v>
      </c>
      <c r="R114" t="s">
        <v>201</v>
      </c>
      <c r="S114">
        <v>6900</v>
      </c>
      <c r="T114">
        <v>4200</v>
      </c>
      <c r="U114">
        <v>2700</v>
      </c>
      <c r="V114">
        <v>0.39130434782608697</v>
      </c>
      <c r="W114" t="s">
        <v>209</v>
      </c>
    </row>
    <row r="115" spans="1:23">
      <c r="A115">
        <v>10260</v>
      </c>
      <c r="B115" t="s">
        <v>130</v>
      </c>
      <c r="C115">
        <v>45335</v>
      </c>
      <c r="D115" t="s">
        <v>35</v>
      </c>
      <c r="E115" t="s">
        <v>35</v>
      </c>
      <c r="F115" t="s">
        <v>115</v>
      </c>
      <c r="G115" t="s">
        <v>81</v>
      </c>
      <c r="H115" t="s">
        <v>10</v>
      </c>
      <c r="I115" t="s">
        <v>11</v>
      </c>
      <c r="J115" t="s">
        <v>11</v>
      </c>
      <c r="K115">
        <v>3</v>
      </c>
      <c r="L115">
        <v>3</v>
      </c>
      <c r="M115">
        <v>1300</v>
      </c>
      <c r="N115">
        <v>1300</v>
      </c>
      <c r="P115">
        <v>3</v>
      </c>
      <c r="Q115">
        <v>800</v>
      </c>
      <c r="R115" t="s">
        <v>201</v>
      </c>
      <c r="S115">
        <v>3900</v>
      </c>
      <c r="T115">
        <v>2400</v>
      </c>
      <c r="U115">
        <v>1500</v>
      </c>
      <c r="V115">
        <v>0.38461538461538503</v>
      </c>
      <c r="W115" t="s">
        <v>210</v>
      </c>
    </row>
    <row r="116" spans="1:23">
      <c r="A116">
        <v>10094</v>
      </c>
      <c r="B116">
        <v>45333</v>
      </c>
      <c r="C116">
        <v>45333</v>
      </c>
      <c r="D116" t="s">
        <v>19</v>
      </c>
      <c r="E116" t="s">
        <v>19</v>
      </c>
      <c r="F116" t="s">
        <v>81</v>
      </c>
      <c r="G116" t="s">
        <v>81</v>
      </c>
      <c r="H116" t="s">
        <v>111</v>
      </c>
      <c r="I116" t="s">
        <v>112</v>
      </c>
      <c r="J116" t="s">
        <v>112</v>
      </c>
      <c r="K116">
        <v>3</v>
      </c>
      <c r="L116">
        <v>3</v>
      </c>
      <c r="M116">
        <v>850</v>
      </c>
      <c r="N116">
        <v>850</v>
      </c>
      <c r="P116">
        <v>3</v>
      </c>
      <c r="Q116">
        <v>550</v>
      </c>
      <c r="R116" t="s">
        <v>201</v>
      </c>
      <c r="S116">
        <v>2550</v>
      </c>
      <c r="T116">
        <v>1650</v>
      </c>
      <c r="U116">
        <v>900</v>
      </c>
      <c r="V116">
        <v>0.35294117647058798</v>
      </c>
      <c r="W116" t="s">
        <v>210</v>
      </c>
    </row>
    <row r="117" spans="1:23">
      <c r="A117">
        <v>10282</v>
      </c>
      <c r="B117">
        <v>45370</v>
      </c>
      <c r="C117">
        <v>45370</v>
      </c>
      <c r="D117" t="s">
        <v>40</v>
      </c>
      <c r="E117" t="s">
        <v>40</v>
      </c>
      <c r="F117" t="s">
        <v>9</v>
      </c>
      <c r="G117" t="s">
        <v>9</v>
      </c>
      <c r="H117" t="s">
        <v>10</v>
      </c>
      <c r="I117" t="s">
        <v>11</v>
      </c>
      <c r="J117" t="s">
        <v>11</v>
      </c>
      <c r="K117">
        <v>12</v>
      </c>
      <c r="L117">
        <v>12</v>
      </c>
      <c r="M117">
        <v>1300</v>
      </c>
      <c r="N117">
        <v>1300</v>
      </c>
      <c r="P117">
        <v>12</v>
      </c>
      <c r="Q117">
        <v>800</v>
      </c>
      <c r="R117" t="s">
        <v>201</v>
      </c>
      <c r="S117">
        <v>15600</v>
      </c>
      <c r="T117">
        <v>9600</v>
      </c>
      <c r="U117">
        <v>6000</v>
      </c>
      <c r="V117">
        <v>0.38461538461538503</v>
      </c>
      <c r="W117" t="s">
        <v>211</v>
      </c>
    </row>
    <row r="118" spans="1:23">
      <c r="A118">
        <v>10225</v>
      </c>
      <c r="B118" t="s">
        <v>131</v>
      </c>
      <c r="C118">
        <v>45368</v>
      </c>
      <c r="D118" t="s">
        <v>95</v>
      </c>
      <c r="E118" t="s">
        <v>35</v>
      </c>
      <c r="F118" t="s">
        <v>88</v>
      </c>
      <c r="G118" t="s">
        <v>24</v>
      </c>
      <c r="H118" t="s">
        <v>21</v>
      </c>
      <c r="I118" t="s">
        <v>22</v>
      </c>
      <c r="J118" t="s">
        <v>22</v>
      </c>
      <c r="K118">
        <v>2</v>
      </c>
      <c r="L118">
        <v>2</v>
      </c>
      <c r="M118">
        <v>2250</v>
      </c>
      <c r="N118">
        <v>2250</v>
      </c>
      <c r="P118">
        <v>2</v>
      </c>
      <c r="Q118">
        <v>1500</v>
      </c>
      <c r="R118" t="s">
        <v>199</v>
      </c>
      <c r="S118">
        <v>4500</v>
      </c>
      <c r="T118">
        <v>3000</v>
      </c>
      <c r="U118">
        <v>1500</v>
      </c>
      <c r="V118">
        <v>0.33333333333333298</v>
      </c>
      <c r="W118" t="s">
        <v>211</v>
      </c>
    </row>
    <row r="119" spans="1:23">
      <c r="A119">
        <v>10292</v>
      </c>
      <c r="B119" t="s">
        <v>132</v>
      </c>
      <c r="C119">
        <v>45316</v>
      </c>
      <c r="D119" t="s">
        <v>74</v>
      </c>
      <c r="E119" t="s">
        <v>74</v>
      </c>
      <c r="F119" t="s">
        <v>133</v>
      </c>
      <c r="G119" t="s">
        <v>62</v>
      </c>
      <c r="H119" t="s">
        <v>90</v>
      </c>
      <c r="I119" t="s">
        <v>91</v>
      </c>
      <c r="J119" t="s">
        <v>91</v>
      </c>
      <c r="K119">
        <v>12</v>
      </c>
      <c r="L119">
        <v>12</v>
      </c>
      <c r="M119">
        <v>5150</v>
      </c>
      <c r="N119">
        <v>5150</v>
      </c>
      <c r="P119">
        <v>12</v>
      </c>
      <c r="Q119">
        <v>3500</v>
      </c>
      <c r="R119" t="s">
        <v>202</v>
      </c>
      <c r="S119">
        <v>61800</v>
      </c>
      <c r="T119">
        <v>42000</v>
      </c>
      <c r="U119">
        <v>19800</v>
      </c>
      <c r="V119">
        <v>0.32038834951456302</v>
      </c>
      <c r="W119" t="s">
        <v>209</v>
      </c>
    </row>
    <row r="120" spans="1:23">
      <c r="A120">
        <v>10226</v>
      </c>
      <c r="B120" t="s">
        <v>117</v>
      </c>
      <c r="C120">
        <v>45311</v>
      </c>
      <c r="D120" t="s">
        <v>15</v>
      </c>
      <c r="E120" t="s">
        <v>15</v>
      </c>
      <c r="F120" t="s">
        <v>134</v>
      </c>
      <c r="G120" t="s">
        <v>16</v>
      </c>
      <c r="H120" t="s">
        <v>21</v>
      </c>
      <c r="I120" t="s">
        <v>22</v>
      </c>
      <c r="J120" t="s">
        <v>22</v>
      </c>
      <c r="K120">
        <v>2</v>
      </c>
      <c r="L120">
        <v>2</v>
      </c>
      <c r="M120">
        <v>2400</v>
      </c>
      <c r="N120">
        <v>2400</v>
      </c>
      <c r="P120">
        <v>2</v>
      </c>
      <c r="Q120">
        <v>1500</v>
      </c>
      <c r="R120" t="s">
        <v>199</v>
      </c>
      <c r="S120">
        <v>4800</v>
      </c>
      <c r="T120">
        <v>3000</v>
      </c>
      <c r="U120">
        <v>1800</v>
      </c>
      <c r="V120">
        <v>0.375</v>
      </c>
      <c r="W120" t="s">
        <v>209</v>
      </c>
    </row>
    <row r="121" spans="1:23">
      <c r="A121">
        <v>10128</v>
      </c>
      <c r="B121" t="s">
        <v>132</v>
      </c>
      <c r="C121">
        <v>45316</v>
      </c>
      <c r="D121" t="s">
        <v>74</v>
      </c>
      <c r="E121" t="s">
        <v>74</v>
      </c>
      <c r="F121" t="s">
        <v>81</v>
      </c>
      <c r="G121" t="s">
        <v>81</v>
      </c>
      <c r="H121" t="s">
        <v>25</v>
      </c>
      <c r="I121" t="s">
        <v>75</v>
      </c>
      <c r="J121" t="s">
        <v>26</v>
      </c>
      <c r="K121">
        <v>8</v>
      </c>
      <c r="L121">
        <v>8</v>
      </c>
      <c r="M121">
        <v>420</v>
      </c>
      <c r="N121">
        <v>420</v>
      </c>
      <c r="P121">
        <v>8</v>
      </c>
      <c r="Q121">
        <v>250</v>
      </c>
      <c r="R121" t="s">
        <v>199</v>
      </c>
      <c r="S121">
        <v>3360</v>
      </c>
      <c r="T121">
        <v>2000</v>
      </c>
      <c r="U121">
        <v>1360</v>
      </c>
      <c r="V121">
        <v>0.40476190476190499</v>
      </c>
      <c r="W121" t="s">
        <v>209</v>
      </c>
    </row>
    <row r="122" spans="1:23">
      <c r="A122">
        <v>10187</v>
      </c>
      <c r="B122">
        <v>45301</v>
      </c>
      <c r="C122">
        <v>45301</v>
      </c>
      <c r="D122" t="s">
        <v>15</v>
      </c>
      <c r="E122" t="s">
        <v>15</v>
      </c>
      <c r="F122" t="s">
        <v>135</v>
      </c>
      <c r="G122" t="s">
        <v>48</v>
      </c>
      <c r="H122" t="s">
        <v>50</v>
      </c>
      <c r="I122" t="s">
        <v>69</v>
      </c>
      <c r="J122" t="s">
        <v>257</v>
      </c>
      <c r="K122">
        <v>2</v>
      </c>
      <c r="L122">
        <v>2</v>
      </c>
      <c r="M122">
        <v>1400</v>
      </c>
      <c r="N122">
        <v>1400</v>
      </c>
      <c r="P122">
        <v>2</v>
      </c>
      <c r="Q122">
        <v>900</v>
      </c>
      <c r="R122" t="s">
        <v>200</v>
      </c>
      <c r="S122">
        <v>2800</v>
      </c>
      <c r="T122">
        <v>1800</v>
      </c>
      <c r="U122">
        <v>1000</v>
      </c>
      <c r="V122">
        <v>0.35714285714285698</v>
      </c>
      <c r="W122" t="s">
        <v>209</v>
      </c>
    </row>
    <row r="123" spans="1:23">
      <c r="A123">
        <v>10089</v>
      </c>
      <c r="B123">
        <v>45343</v>
      </c>
      <c r="C123">
        <v>45343</v>
      </c>
      <c r="D123" t="s">
        <v>74</v>
      </c>
      <c r="E123" t="s">
        <v>74</v>
      </c>
      <c r="F123" t="s">
        <v>24</v>
      </c>
      <c r="G123" t="s">
        <v>24</v>
      </c>
      <c r="H123" t="s">
        <v>53</v>
      </c>
      <c r="I123" t="s">
        <v>72</v>
      </c>
      <c r="J123" t="s">
        <v>255</v>
      </c>
      <c r="K123">
        <v>15</v>
      </c>
      <c r="L123">
        <v>15</v>
      </c>
      <c r="M123">
        <v>1000</v>
      </c>
      <c r="N123">
        <v>1000</v>
      </c>
      <c r="P123">
        <v>15</v>
      </c>
      <c r="Q123">
        <v>600</v>
      </c>
      <c r="R123" t="s">
        <v>200</v>
      </c>
      <c r="S123">
        <v>15000</v>
      </c>
      <c r="T123">
        <v>9000</v>
      </c>
      <c r="U123">
        <v>6000</v>
      </c>
      <c r="V123">
        <v>0.4</v>
      </c>
      <c r="W123" t="s">
        <v>210</v>
      </c>
    </row>
    <row r="124" spans="1:23">
      <c r="A124">
        <v>10208</v>
      </c>
      <c r="B124">
        <v>45362</v>
      </c>
      <c r="C124">
        <v>45362</v>
      </c>
      <c r="D124" t="s">
        <v>41</v>
      </c>
      <c r="E124" t="s">
        <v>41</v>
      </c>
      <c r="F124" t="s">
        <v>62</v>
      </c>
      <c r="G124" t="s">
        <v>62</v>
      </c>
      <c r="H124" t="s">
        <v>50</v>
      </c>
      <c r="I124" t="s">
        <v>89</v>
      </c>
      <c r="J124" t="s">
        <v>257</v>
      </c>
      <c r="K124">
        <v>5</v>
      </c>
      <c r="L124">
        <v>5</v>
      </c>
      <c r="M124">
        <v>1500</v>
      </c>
      <c r="N124">
        <v>1500</v>
      </c>
      <c r="P124">
        <v>5</v>
      </c>
      <c r="Q124">
        <v>900</v>
      </c>
      <c r="R124" t="s">
        <v>200</v>
      </c>
      <c r="S124">
        <v>7500</v>
      </c>
      <c r="T124">
        <v>4500</v>
      </c>
      <c r="U124">
        <v>3000</v>
      </c>
      <c r="V124">
        <v>0.4</v>
      </c>
      <c r="W124" t="s">
        <v>211</v>
      </c>
    </row>
    <row r="125" spans="1:23">
      <c r="A125">
        <v>10033</v>
      </c>
      <c r="B125">
        <v>45298</v>
      </c>
      <c r="C125">
        <v>45298</v>
      </c>
      <c r="D125" t="s">
        <v>19</v>
      </c>
      <c r="E125" t="s">
        <v>19</v>
      </c>
      <c r="F125" t="s">
        <v>14</v>
      </c>
      <c r="G125" t="s">
        <v>14</v>
      </c>
      <c r="H125" t="s">
        <v>21</v>
      </c>
      <c r="I125" t="s">
        <v>22</v>
      </c>
      <c r="J125" t="s">
        <v>22</v>
      </c>
      <c r="K125">
        <v>2</v>
      </c>
      <c r="L125">
        <v>2</v>
      </c>
      <c r="M125">
        <v>2350</v>
      </c>
      <c r="N125">
        <v>2350</v>
      </c>
      <c r="P125">
        <v>2</v>
      </c>
      <c r="Q125">
        <v>1500</v>
      </c>
      <c r="R125" t="s">
        <v>199</v>
      </c>
      <c r="S125">
        <v>4700</v>
      </c>
      <c r="T125">
        <v>3000</v>
      </c>
      <c r="U125">
        <v>1700</v>
      </c>
      <c r="V125">
        <v>0.36170212765957399</v>
      </c>
      <c r="W125" t="s">
        <v>209</v>
      </c>
    </row>
    <row r="126" spans="1:23">
      <c r="A126">
        <v>10130</v>
      </c>
      <c r="B126">
        <v>45363</v>
      </c>
      <c r="C126">
        <v>45363</v>
      </c>
      <c r="D126" t="s">
        <v>35</v>
      </c>
      <c r="E126" t="s">
        <v>35</v>
      </c>
      <c r="F126" t="s">
        <v>14</v>
      </c>
      <c r="G126" t="s">
        <v>14</v>
      </c>
      <c r="H126" t="s">
        <v>93</v>
      </c>
      <c r="I126" t="s">
        <v>94</v>
      </c>
      <c r="J126" t="s">
        <v>258</v>
      </c>
      <c r="K126">
        <v>5</v>
      </c>
      <c r="L126">
        <v>5</v>
      </c>
      <c r="M126">
        <v>1100</v>
      </c>
      <c r="N126">
        <v>1100</v>
      </c>
      <c r="P126">
        <v>5</v>
      </c>
      <c r="Q126">
        <v>700</v>
      </c>
      <c r="R126" t="s">
        <v>201</v>
      </c>
      <c r="S126">
        <v>5500</v>
      </c>
      <c r="T126">
        <v>3500</v>
      </c>
      <c r="U126">
        <v>2000</v>
      </c>
      <c r="V126">
        <v>0.36363636363636398</v>
      </c>
      <c r="W126" t="s">
        <v>211</v>
      </c>
    </row>
    <row r="127" spans="1:23">
      <c r="A127">
        <v>10203</v>
      </c>
      <c r="B127">
        <v>45317</v>
      </c>
      <c r="C127">
        <v>45317</v>
      </c>
      <c r="D127" t="s">
        <v>37</v>
      </c>
      <c r="E127" t="s">
        <v>15</v>
      </c>
      <c r="F127" t="s">
        <v>16</v>
      </c>
      <c r="G127" t="s">
        <v>16</v>
      </c>
      <c r="H127" t="s">
        <v>53</v>
      </c>
      <c r="I127" t="s">
        <v>54</v>
      </c>
      <c r="J127" t="s">
        <v>255</v>
      </c>
      <c r="K127">
        <v>2</v>
      </c>
      <c r="L127">
        <v>2</v>
      </c>
      <c r="M127">
        <v>950</v>
      </c>
      <c r="N127">
        <v>950</v>
      </c>
      <c r="P127">
        <v>2</v>
      </c>
      <c r="Q127">
        <v>600</v>
      </c>
      <c r="R127" t="s">
        <v>200</v>
      </c>
      <c r="S127">
        <v>1900</v>
      </c>
      <c r="T127">
        <v>1200</v>
      </c>
      <c r="U127">
        <v>700</v>
      </c>
      <c r="V127">
        <v>0.36842105263157898</v>
      </c>
      <c r="W127" t="s">
        <v>209</v>
      </c>
    </row>
    <row r="128" spans="1:23">
      <c r="A128">
        <v>10215</v>
      </c>
      <c r="B128">
        <v>45331</v>
      </c>
      <c r="C128">
        <v>45331</v>
      </c>
      <c r="D128" t="s">
        <v>40</v>
      </c>
      <c r="E128" t="s">
        <v>40</v>
      </c>
      <c r="F128" t="s">
        <v>136</v>
      </c>
      <c r="G128" t="s">
        <v>46</v>
      </c>
      <c r="H128" t="s">
        <v>53</v>
      </c>
      <c r="I128" t="s">
        <v>72</v>
      </c>
      <c r="J128" t="s">
        <v>255</v>
      </c>
      <c r="K128">
        <v>3</v>
      </c>
      <c r="L128">
        <v>3</v>
      </c>
      <c r="M128">
        <v>900</v>
      </c>
      <c r="N128">
        <v>900</v>
      </c>
      <c r="P128">
        <v>3</v>
      </c>
      <c r="Q128">
        <v>600</v>
      </c>
      <c r="R128" t="s">
        <v>200</v>
      </c>
      <c r="S128">
        <v>2700</v>
      </c>
      <c r="T128">
        <v>1800</v>
      </c>
      <c r="U128">
        <v>900</v>
      </c>
      <c r="V128">
        <v>0.33333333333333298</v>
      </c>
      <c r="W128" t="s">
        <v>210</v>
      </c>
    </row>
    <row r="129" spans="1:23">
      <c r="A129">
        <v>10192</v>
      </c>
      <c r="B129">
        <v>45342</v>
      </c>
      <c r="C129">
        <v>45342</v>
      </c>
      <c r="D129" t="s">
        <v>19</v>
      </c>
      <c r="E129" t="s">
        <v>19</v>
      </c>
      <c r="F129" t="s">
        <v>46</v>
      </c>
      <c r="G129" t="s">
        <v>46</v>
      </c>
      <c r="H129" t="s">
        <v>33</v>
      </c>
      <c r="I129" t="s">
        <v>60</v>
      </c>
      <c r="J129" t="s">
        <v>251</v>
      </c>
      <c r="K129">
        <v>12</v>
      </c>
      <c r="L129">
        <v>12</v>
      </c>
      <c r="M129">
        <v>750</v>
      </c>
      <c r="N129">
        <v>750</v>
      </c>
      <c r="P129">
        <v>12</v>
      </c>
      <c r="Q129">
        <v>450</v>
      </c>
      <c r="R129" t="s">
        <v>202</v>
      </c>
      <c r="S129">
        <v>9000</v>
      </c>
      <c r="T129">
        <v>5400</v>
      </c>
      <c r="U129">
        <v>3600</v>
      </c>
      <c r="V129">
        <v>0.4</v>
      </c>
      <c r="W129" t="s">
        <v>210</v>
      </c>
    </row>
    <row r="130" spans="1:23">
      <c r="A130">
        <v>10227</v>
      </c>
      <c r="B130">
        <v>45343</v>
      </c>
      <c r="C130">
        <v>45343</v>
      </c>
      <c r="E130" t="s">
        <v>205</v>
      </c>
      <c r="F130" t="s">
        <v>48</v>
      </c>
      <c r="G130" t="s">
        <v>48</v>
      </c>
      <c r="H130" t="s">
        <v>17</v>
      </c>
      <c r="I130" t="s">
        <v>18</v>
      </c>
      <c r="J130" t="s">
        <v>18</v>
      </c>
      <c r="K130">
        <v>8</v>
      </c>
      <c r="L130">
        <v>8</v>
      </c>
      <c r="M130">
        <v>550</v>
      </c>
      <c r="N130">
        <v>550</v>
      </c>
      <c r="P130">
        <v>8</v>
      </c>
      <c r="Q130">
        <v>350</v>
      </c>
      <c r="R130" t="s">
        <v>199</v>
      </c>
      <c r="S130">
        <v>4400</v>
      </c>
      <c r="T130">
        <v>2800</v>
      </c>
      <c r="U130">
        <v>1600</v>
      </c>
      <c r="V130">
        <v>0.36363636363636398</v>
      </c>
      <c r="W130" t="s">
        <v>210</v>
      </c>
    </row>
    <row r="131" spans="1:23">
      <c r="A131">
        <v>10301</v>
      </c>
      <c r="B131">
        <v>45332</v>
      </c>
      <c r="C131">
        <v>45332</v>
      </c>
      <c r="D131" t="s">
        <v>41</v>
      </c>
      <c r="E131" t="s">
        <v>41</v>
      </c>
      <c r="F131" t="s">
        <v>64</v>
      </c>
      <c r="G131" t="s">
        <v>24</v>
      </c>
      <c r="H131" t="s">
        <v>111</v>
      </c>
      <c r="I131" t="s">
        <v>112</v>
      </c>
      <c r="J131" t="s">
        <v>112</v>
      </c>
      <c r="K131">
        <v>12</v>
      </c>
      <c r="L131">
        <v>12</v>
      </c>
      <c r="M131">
        <v>850</v>
      </c>
      <c r="N131">
        <v>850</v>
      </c>
      <c r="P131">
        <v>12</v>
      </c>
      <c r="Q131">
        <v>550</v>
      </c>
      <c r="R131" t="s">
        <v>201</v>
      </c>
      <c r="S131">
        <v>10200</v>
      </c>
      <c r="T131">
        <v>6600</v>
      </c>
      <c r="U131">
        <v>3600</v>
      </c>
      <c r="V131">
        <v>0.35294117647058798</v>
      </c>
      <c r="W131" t="s">
        <v>210</v>
      </c>
    </row>
    <row r="132" spans="1:23">
      <c r="A132">
        <v>10083</v>
      </c>
      <c r="B132" t="s">
        <v>107</v>
      </c>
      <c r="C132">
        <v>45305</v>
      </c>
      <c r="D132" t="s">
        <v>35</v>
      </c>
      <c r="E132" t="s">
        <v>35</v>
      </c>
      <c r="F132" t="s">
        <v>24</v>
      </c>
      <c r="G132" t="s">
        <v>24</v>
      </c>
      <c r="H132" t="s">
        <v>50</v>
      </c>
      <c r="I132" t="s">
        <v>71</v>
      </c>
      <c r="J132" t="s">
        <v>257</v>
      </c>
      <c r="K132">
        <v>5</v>
      </c>
      <c r="L132">
        <v>5</v>
      </c>
      <c r="M132">
        <v>1550</v>
      </c>
      <c r="N132">
        <v>1550</v>
      </c>
      <c r="P132">
        <v>5</v>
      </c>
      <c r="Q132">
        <v>900</v>
      </c>
      <c r="R132" t="s">
        <v>200</v>
      </c>
      <c r="S132">
        <v>7750</v>
      </c>
      <c r="T132">
        <v>4500</v>
      </c>
      <c r="U132">
        <v>3250</v>
      </c>
      <c r="V132">
        <v>0.41935483870967699</v>
      </c>
      <c r="W132" t="s">
        <v>209</v>
      </c>
    </row>
    <row r="133" spans="1:23">
      <c r="A133">
        <v>10223</v>
      </c>
      <c r="B133">
        <v>45321</v>
      </c>
      <c r="C133">
        <v>45321</v>
      </c>
      <c r="D133" t="s">
        <v>79</v>
      </c>
      <c r="E133" t="s">
        <v>19</v>
      </c>
      <c r="F133" t="s">
        <v>62</v>
      </c>
      <c r="G133" t="s">
        <v>62</v>
      </c>
      <c r="H133" t="s">
        <v>55</v>
      </c>
      <c r="I133" t="s">
        <v>56</v>
      </c>
      <c r="J133" t="s">
        <v>256</v>
      </c>
      <c r="K133">
        <v>8</v>
      </c>
      <c r="L133">
        <v>8</v>
      </c>
      <c r="M133">
        <v>880</v>
      </c>
      <c r="N133">
        <v>880</v>
      </c>
      <c r="P133">
        <v>8</v>
      </c>
      <c r="Q133">
        <v>480</v>
      </c>
      <c r="R133" t="s">
        <v>200</v>
      </c>
      <c r="S133">
        <v>7040</v>
      </c>
      <c r="T133">
        <v>3840</v>
      </c>
      <c r="U133">
        <v>3200</v>
      </c>
      <c r="V133">
        <v>0.45454545454545497</v>
      </c>
      <c r="W133" t="s">
        <v>209</v>
      </c>
    </row>
    <row r="134" spans="1:23">
      <c r="A134">
        <v>10307</v>
      </c>
      <c r="B134" t="s">
        <v>67</v>
      </c>
      <c r="C134">
        <v>45340</v>
      </c>
      <c r="D134" t="s">
        <v>15</v>
      </c>
      <c r="E134" t="s">
        <v>15</v>
      </c>
      <c r="F134" t="s">
        <v>9</v>
      </c>
      <c r="G134" t="s">
        <v>9</v>
      </c>
      <c r="H134" t="s">
        <v>10</v>
      </c>
      <c r="I134" t="s">
        <v>11</v>
      </c>
      <c r="J134" t="s">
        <v>11</v>
      </c>
      <c r="K134">
        <v>3</v>
      </c>
      <c r="L134">
        <v>3</v>
      </c>
      <c r="M134">
        <v>1350</v>
      </c>
      <c r="N134">
        <v>1350</v>
      </c>
      <c r="P134">
        <v>3</v>
      </c>
      <c r="Q134">
        <v>800</v>
      </c>
      <c r="R134" t="s">
        <v>201</v>
      </c>
      <c r="S134">
        <v>4050</v>
      </c>
      <c r="T134">
        <v>2400</v>
      </c>
      <c r="U134">
        <v>1650</v>
      </c>
      <c r="V134">
        <v>0.407407407407407</v>
      </c>
      <c r="W134" t="s">
        <v>210</v>
      </c>
    </row>
    <row r="135" spans="1:23">
      <c r="A135">
        <v>10271</v>
      </c>
      <c r="B135" t="s">
        <v>137</v>
      </c>
      <c r="C135">
        <v>45372</v>
      </c>
      <c r="D135" t="s">
        <v>15</v>
      </c>
      <c r="E135" t="s">
        <v>15</v>
      </c>
      <c r="F135" t="s">
        <v>48</v>
      </c>
      <c r="G135" t="s">
        <v>48</v>
      </c>
      <c r="H135" t="s">
        <v>55</v>
      </c>
      <c r="I135" t="s">
        <v>56</v>
      </c>
      <c r="J135" t="s">
        <v>256</v>
      </c>
      <c r="K135">
        <v>2</v>
      </c>
      <c r="L135">
        <v>2</v>
      </c>
      <c r="M135">
        <v>780</v>
      </c>
      <c r="N135">
        <v>780</v>
      </c>
      <c r="P135">
        <v>2</v>
      </c>
      <c r="Q135">
        <v>480</v>
      </c>
      <c r="R135" t="s">
        <v>200</v>
      </c>
      <c r="S135">
        <v>1560</v>
      </c>
      <c r="T135">
        <v>960</v>
      </c>
      <c r="U135">
        <v>600</v>
      </c>
      <c r="V135">
        <v>0.38461538461538503</v>
      </c>
      <c r="W135" t="s">
        <v>211</v>
      </c>
    </row>
    <row r="136" spans="1:23">
      <c r="A136">
        <v>10047</v>
      </c>
      <c r="B136">
        <v>45324</v>
      </c>
      <c r="C136">
        <v>45324</v>
      </c>
      <c r="D136" t="s">
        <v>37</v>
      </c>
      <c r="E136" t="s">
        <v>15</v>
      </c>
      <c r="F136" t="s">
        <v>139</v>
      </c>
      <c r="G136" t="s">
        <v>16</v>
      </c>
      <c r="H136" t="s">
        <v>30</v>
      </c>
      <c r="I136" t="s">
        <v>31</v>
      </c>
      <c r="J136" t="s">
        <v>208</v>
      </c>
      <c r="K136">
        <v>4</v>
      </c>
      <c r="L136">
        <v>4</v>
      </c>
      <c r="M136">
        <v>1700</v>
      </c>
      <c r="N136">
        <v>1700</v>
      </c>
      <c r="P136">
        <v>4</v>
      </c>
      <c r="Q136">
        <v>1100</v>
      </c>
      <c r="R136" t="s">
        <v>202</v>
      </c>
      <c r="S136">
        <v>6800</v>
      </c>
      <c r="T136">
        <v>4400</v>
      </c>
      <c r="U136">
        <v>2400</v>
      </c>
      <c r="V136">
        <v>0.35294117647058798</v>
      </c>
      <c r="W136" t="s">
        <v>210</v>
      </c>
    </row>
    <row r="137" spans="1:23">
      <c r="A137">
        <v>10029</v>
      </c>
      <c r="B137">
        <v>45344</v>
      </c>
      <c r="C137">
        <v>45344</v>
      </c>
      <c r="D137" t="s">
        <v>35</v>
      </c>
      <c r="E137" t="s">
        <v>35</v>
      </c>
      <c r="F137" t="s">
        <v>48</v>
      </c>
      <c r="G137" t="s">
        <v>48</v>
      </c>
      <c r="H137" t="s">
        <v>30</v>
      </c>
      <c r="I137" t="s">
        <v>140</v>
      </c>
      <c r="J137" t="s">
        <v>208</v>
      </c>
      <c r="K137">
        <v>5</v>
      </c>
      <c r="L137">
        <v>5</v>
      </c>
      <c r="M137">
        <v>1800</v>
      </c>
      <c r="N137">
        <v>1800</v>
      </c>
      <c r="P137">
        <v>5</v>
      </c>
      <c r="Q137">
        <v>1100</v>
      </c>
      <c r="R137" t="s">
        <v>202</v>
      </c>
      <c r="S137">
        <v>9000</v>
      </c>
      <c r="T137">
        <v>5500</v>
      </c>
      <c r="U137">
        <v>3500</v>
      </c>
      <c r="V137">
        <v>0.38888888888888901</v>
      </c>
      <c r="W137" t="s">
        <v>210</v>
      </c>
    </row>
    <row r="138" spans="1:23">
      <c r="A138">
        <v>10220</v>
      </c>
      <c r="B138">
        <v>45361</v>
      </c>
      <c r="C138">
        <v>45361</v>
      </c>
      <c r="E138" t="s">
        <v>205</v>
      </c>
      <c r="F138" t="s">
        <v>136</v>
      </c>
      <c r="G138" t="s">
        <v>46</v>
      </c>
      <c r="H138" t="s">
        <v>93</v>
      </c>
      <c r="I138" t="s">
        <v>141</v>
      </c>
      <c r="J138" t="s">
        <v>258</v>
      </c>
      <c r="K138">
        <v>4</v>
      </c>
      <c r="L138">
        <v>4</v>
      </c>
      <c r="M138">
        <v>1050</v>
      </c>
      <c r="N138">
        <v>1050</v>
      </c>
      <c r="P138">
        <v>4</v>
      </c>
      <c r="Q138">
        <v>700</v>
      </c>
      <c r="R138" t="s">
        <v>201</v>
      </c>
      <c r="S138">
        <v>4200</v>
      </c>
      <c r="T138">
        <v>2800</v>
      </c>
      <c r="U138">
        <v>1400</v>
      </c>
      <c r="V138">
        <v>0.33333333333333298</v>
      </c>
      <c r="W138" t="s">
        <v>211</v>
      </c>
    </row>
    <row r="139" spans="1:23">
      <c r="A139">
        <v>10024</v>
      </c>
      <c r="B139">
        <v>45344</v>
      </c>
      <c r="C139">
        <v>45344</v>
      </c>
      <c r="D139" t="s">
        <v>19</v>
      </c>
      <c r="E139" t="s">
        <v>19</v>
      </c>
      <c r="F139" t="s">
        <v>9</v>
      </c>
      <c r="G139" t="s">
        <v>9</v>
      </c>
      <c r="H139" t="s">
        <v>21</v>
      </c>
      <c r="I139" t="s">
        <v>22</v>
      </c>
      <c r="J139" t="s">
        <v>22</v>
      </c>
      <c r="K139">
        <v>4</v>
      </c>
      <c r="L139">
        <v>4</v>
      </c>
      <c r="M139">
        <v>2300</v>
      </c>
      <c r="N139">
        <v>2300</v>
      </c>
      <c r="P139">
        <v>4</v>
      </c>
      <c r="Q139">
        <v>1500</v>
      </c>
      <c r="R139" t="s">
        <v>199</v>
      </c>
      <c r="S139">
        <v>9200</v>
      </c>
      <c r="T139">
        <v>6000</v>
      </c>
      <c r="U139">
        <v>3200</v>
      </c>
      <c r="V139">
        <v>0.34782608695652201</v>
      </c>
      <c r="W139" t="s">
        <v>210</v>
      </c>
    </row>
    <row r="140" spans="1:23">
      <c r="A140">
        <v>10168</v>
      </c>
      <c r="B140">
        <v>45380</v>
      </c>
      <c r="C140">
        <v>45380</v>
      </c>
      <c r="D140" t="s">
        <v>41</v>
      </c>
      <c r="E140" t="s">
        <v>41</v>
      </c>
      <c r="F140" t="s">
        <v>62</v>
      </c>
      <c r="G140" t="s">
        <v>62</v>
      </c>
      <c r="H140" t="s">
        <v>10</v>
      </c>
      <c r="I140" t="s">
        <v>11</v>
      </c>
      <c r="J140" t="s">
        <v>11</v>
      </c>
      <c r="K140">
        <v>6</v>
      </c>
      <c r="L140">
        <v>6</v>
      </c>
      <c r="M140">
        <v>1400</v>
      </c>
      <c r="N140">
        <v>1400</v>
      </c>
      <c r="P140">
        <v>6</v>
      </c>
      <c r="Q140">
        <v>800</v>
      </c>
      <c r="R140" t="s">
        <v>201</v>
      </c>
      <c r="S140">
        <v>8400</v>
      </c>
      <c r="T140">
        <v>4800</v>
      </c>
      <c r="U140">
        <v>3600</v>
      </c>
      <c r="V140">
        <v>0.42857142857142899</v>
      </c>
      <c r="W140" t="s">
        <v>211</v>
      </c>
    </row>
    <row r="141" spans="1:23">
      <c r="A141">
        <v>10333</v>
      </c>
      <c r="B141">
        <v>45320</v>
      </c>
      <c r="C141">
        <v>45320</v>
      </c>
      <c r="D141" t="s">
        <v>47</v>
      </c>
      <c r="E141" t="s">
        <v>15</v>
      </c>
      <c r="F141" t="s">
        <v>142</v>
      </c>
      <c r="G141" t="s">
        <v>24</v>
      </c>
      <c r="H141" t="s">
        <v>17</v>
      </c>
      <c r="I141" t="s">
        <v>18</v>
      </c>
      <c r="J141" t="s">
        <v>18</v>
      </c>
      <c r="K141">
        <v>5</v>
      </c>
      <c r="L141">
        <v>5</v>
      </c>
      <c r="M141">
        <v>650</v>
      </c>
      <c r="N141">
        <v>650</v>
      </c>
      <c r="P141">
        <v>5</v>
      </c>
      <c r="Q141">
        <v>350</v>
      </c>
      <c r="R141" t="s">
        <v>199</v>
      </c>
      <c r="S141">
        <v>3250</v>
      </c>
      <c r="T141">
        <v>1750</v>
      </c>
      <c r="U141">
        <v>1500</v>
      </c>
      <c r="V141">
        <v>0.46153846153846201</v>
      </c>
      <c r="W141" t="s">
        <v>209</v>
      </c>
    </row>
    <row r="142" spans="1:23">
      <c r="A142">
        <v>10037</v>
      </c>
      <c r="B142">
        <v>45326</v>
      </c>
      <c r="C142">
        <v>45326</v>
      </c>
      <c r="D142" t="s">
        <v>41</v>
      </c>
      <c r="E142" t="s">
        <v>41</v>
      </c>
      <c r="F142" t="s">
        <v>81</v>
      </c>
      <c r="G142" t="s">
        <v>81</v>
      </c>
      <c r="H142" t="s">
        <v>17</v>
      </c>
      <c r="I142" t="s">
        <v>18</v>
      </c>
      <c r="J142" t="s">
        <v>18</v>
      </c>
      <c r="K142">
        <v>8</v>
      </c>
      <c r="L142">
        <v>8</v>
      </c>
      <c r="M142">
        <v>550</v>
      </c>
      <c r="N142">
        <v>550</v>
      </c>
      <c r="P142">
        <v>8</v>
      </c>
      <c r="Q142">
        <v>350</v>
      </c>
      <c r="R142" t="s">
        <v>199</v>
      </c>
      <c r="S142">
        <v>4400</v>
      </c>
      <c r="T142">
        <v>2800</v>
      </c>
      <c r="U142">
        <v>1600</v>
      </c>
      <c r="V142">
        <v>0.36363636363636398</v>
      </c>
      <c r="W142" t="s">
        <v>210</v>
      </c>
    </row>
    <row r="143" spans="1:23">
      <c r="A143">
        <v>10248</v>
      </c>
      <c r="B143">
        <v>45306</v>
      </c>
      <c r="C143">
        <v>45306</v>
      </c>
      <c r="D143" t="s">
        <v>74</v>
      </c>
      <c r="E143" t="s">
        <v>74</v>
      </c>
      <c r="F143" t="s">
        <v>62</v>
      </c>
      <c r="G143" t="s">
        <v>62</v>
      </c>
      <c r="H143" t="s">
        <v>17</v>
      </c>
      <c r="I143" t="s">
        <v>18</v>
      </c>
      <c r="J143" t="s">
        <v>18</v>
      </c>
      <c r="K143">
        <v>3</v>
      </c>
      <c r="L143">
        <v>3</v>
      </c>
      <c r="M143">
        <v>550</v>
      </c>
      <c r="N143">
        <v>550</v>
      </c>
      <c r="P143">
        <v>3</v>
      </c>
      <c r="Q143">
        <v>350</v>
      </c>
      <c r="R143" t="s">
        <v>199</v>
      </c>
      <c r="S143">
        <v>1650</v>
      </c>
      <c r="T143">
        <v>1050</v>
      </c>
      <c r="U143">
        <v>600</v>
      </c>
      <c r="V143">
        <v>0.36363636363636398</v>
      </c>
      <c r="W143" t="s">
        <v>209</v>
      </c>
    </row>
    <row r="144" spans="1:23">
      <c r="A144">
        <v>10014</v>
      </c>
      <c r="B144" t="s">
        <v>143</v>
      </c>
      <c r="C144">
        <v>45344</v>
      </c>
      <c r="D144" t="s">
        <v>15</v>
      </c>
      <c r="E144" t="s">
        <v>15</v>
      </c>
      <c r="F144" t="s">
        <v>134</v>
      </c>
      <c r="G144" t="s">
        <v>16</v>
      </c>
      <c r="H144" t="s">
        <v>50</v>
      </c>
      <c r="I144" t="s">
        <v>69</v>
      </c>
      <c r="J144" t="s">
        <v>257</v>
      </c>
      <c r="K144">
        <v>20</v>
      </c>
      <c r="L144">
        <v>20</v>
      </c>
      <c r="M144">
        <v>1500</v>
      </c>
      <c r="N144">
        <v>1500</v>
      </c>
      <c r="P144">
        <v>20</v>
      </c>
      <c r="Q144">
        <v>900</v>
      </c>
      <c r="R144" t="s">
        <v>200</v>
      </c>
      <c r="S144">
        <v>30000</v>
      </c>
      <c r="T144">
        <v>18000</v>
      </c>
      <c r="U144">
        <v>12000</v>
      </c>
      <c r="V144">
        <v>0.4</v>
      </c>
      <c r="W144" t="s">
        <v>210</v>
      </c>
    </row>
    <row r="145" spans="1:23">
      <c r="A145">
        <v>10076</v>
      </c>
      <c r="B145">
        <v>45300</v>
      </c>
      <c r="C145">
        <v>45300</v>
      </c>
      <c r="D145" t="s">
        <v>79</v>
      </c>
      <c r="E145" t="s">
        <v>19</v>
      </c>
      <c r="F145" t="s">
        <v>14</v>
      </c>
      <c r="G145" t="s">
        <v>14</v>
      </c>
      <c r="H145" t="s">
        <v>90</v>
      </c>
      <c r="I145" t="s">
        <v>96</v>
      </c>
      <c r="J145" t="s">
        <v>96</v>
      </c>
      <c r="K145">
        <v>4</v>
      </c>
      <c r="L145">
        <v>4</v>
      </c>
      <c r="M145">
        <v>5200</v>
      </c>
      <c r="N145">
        <v>5200</v>
      </c>
      <c r="P145">
        <v>4</v>
      </c>
      <c r="Q145">
        <v>3500</v>
      </c>
      <c r="R145" t="s">
        <v>202</v>
      </c>
      <c r="S145">
        <v>20800</v>
      </c>
      <c r="T145">
        <v>14000</v>
      </c>
      <c r="U145">
        <v>6800</v>
      </c>
      <c r="V145">
        <v>0.32692307692307698</v>
      </c>
      <c r="W145" t="s">
        <v>209</v>
      </c>
    </row>
    <row r="146" spans="1:23">
      <c r="A146">
        <v>10043</v>
      </c>
      <c r="B146">
        <v>45345</v>
      </c>
      <c r="C146">
        <v>45345</v>
      </c>
      <c r="D146" t="s">
        <v>41</v>
      </c>
      <c r="E146" t="s">
        <v>41</v>
      </c>
      <c r="F146" t="s">
        <v>16</v>
      </c>
      <c r="G146" t="s">
        <v>16</v>
      </c>
      <c r="H146" t="s">
        <v>65</v>
      </c>
      <c r="I146" t="s">
        <v>73</v>
      </c>
      <c r="J146" t="s">
        <v>73</v>
      </c>
      <c r="K146">
        <v>6</v>
      </c>
      <c r="L146">
        <v>6</v>
      </c>
      <c r="M146">
        <v>700</v>
      </c>
      <c r="N146">
        <v>700</v>
      </c>
      <c r="P146">
        <v>6</v>
      </c>
      <c r="Q146">
        <v>400</v>
      </c>
      <c r="R146" t="s">
        <v>199</v>
      </c>
      <c r="S146">
        <v>4200</v>
      </c>
      <c r="T146">
        <v>2400</v>
      </c>
      <c r="U146">
        <v>1800</v>
      </c>
      <c r="V146">
        <v>0.42857142857142899</v>
      </c>
      <c r="W146" t="s">
        <v>210</v>
      </c>
    </row>
    <row r="147" spans="1:23">
      <c r="A147">
        <v>10331</v>
      </c>
      <c r="B147" t="s">
        <v>131</v>
      </c>
      <c r="C147">
        <v>45368</v>
      </c>
      <c r="D147" t="s">
        <v>41</v>
      </c>
      <c r="E147" t="s">
        <v>41</v>
      </c>
      <c r="F147" t="s">
        <v>24</v>
      </c>
      <c r="G147" t="s">
        <v>24</v>
      </c>
      <c r="H147" t="s">
        <v>21</v>
      </c>
      <c r="I147" t="s">
        <v>22</v>
      </c>
      <c r="J147" t="s">
        <v>22</v>
      </c>
      <c r="K147">
        <v>6</v>
      </c>
      <c r="L147">
        <v>6</v>
      </c>
      <c r="M147">
        <v>2400</v>
      </c>
      <c r="N147">
        <v>2400</v>
      </c>
      <c r="P147">
        <v>6</v>
      </c>
      <c r="Q147">
        <v>1500</v>
      </c>
      <c r="R147" t="s">
        <v>199</v>
      </c>
      <c r="S147">
        <v>14400</v>
      </c>
      <c r="T147">
        <v>9000</v>
      </c>
      <c r="U147">
        <v>5400</v>
      </c>
      <c r="V147">
        <v>0.375</v>
      </c>
      <c r="W147" t="s">
        <v>211</v>
      </c>
    </row>
    <row r="148" spans="1:23">
      <c r="A148">
        <v>10074</v>
      </c>
      <c r="B148">
        <v>45375</v>
      </c>
      <c r="C148">
        <v>45375</v>
      </c>
      <c r="D148" t="s">
        <v>74</v>
      </c>
      <c r="E148" t="s">
        <v>74</v>
      </c>
      <c r="F148" t="s">
        <v>27</v>
      </c>
      <c r="G148" t="s">
        <v>81</v>
      </c>
      <c r="H148" t="s">
        <v>90</v>
      </c>
      <c r="I148" t="s">
        <v>144</v>
      </c>
      <c r="J148" t="s">
        <v>96</v>
      </c>
      <c r="K148">
        <v>8</v>
      </c>
      <c r="L148">
        <v>8</v>
      </c>
      <c r="M148">
        <v>5200</v>
      </c>
      <c r="N148">
        <v>5200</v>
      </c>
      <c r="P148">
        <v>8</v>
      </c>
      <c r="Q148">
        <v>3500</v>
      </c>
      <c r="R148" t="s">
        <v>202</v>
      </c>
      <c r="S148">
        <v>41600</v>
      </c>
      <c r="T148">
        <v>28000</v>
      </c>
      <c r="U148">
        <v>13600</v>
      </c>
      <c r="V148">
        <v>0.32692307692307698</v>
      </c>
      <c r="W148" t="s">
        <v>211</v>
      </c>
    </row>
    <row r="149" spans="1:23">
      <c r="A149">
        <v>10293</v>
      </c>
      <c r="B149">
        <v>45325</v>
      </c>
      <c r="C149">
        <v>45325</v>
      </c>
      <c r="D149" t="s">
        <v>145</v>
      </c>
      <c r="E149" t="s">
        <v>19</v>
      </c>
      <c r="F149" t="s">
        <v>49</v>
      </c>
      <c r="G149" t="s">
        <v>48</v>
      </c>
      <c r="H149" t="s">
        <v>90</v>
      </c>
      <c r="I149" t="s">
        <v>91</v>
      </c>
      <c r="J149" t="s">
        <v>91</v>
      </c>
      <c r="K149">
        <v>6</v>
      </c>
      <c r="L149">
        <v>6</v>
      </c>
      <c r="M149">
        <v>5300</v>
      </c>
      <c r="N149">
        <v>5300</v>
      </c>
      <c r="P149">
        <v>6</v>
      </c>
      <c r="Q149">
        <v>3500</v>
      </c>
      <c r="R149" t="s">
        <v>202</v>
      </c>
      <c r="S149">
        <v>31800</v>
      </c>
      <c r="T149">
        <v>21000</v>
      </c>
      <c r="U149">
        <v>10800</v>
      </c>
      <c r="V149">
        <v>0.339622641509434</v>
      </c>
      <c r="W149" t="s">
        <v>210</v>
      </c>
    </row>
    <row r="150" spans="1:23">
      <c r="A150">
        <v>10327</v>
      </c>
      <c r="B150">
        <v>45358</v>
      </c>
      <c r="C150">
        <v>45358</v>
      </c>
      <c r="D150" t="s">
        <v>29</v>
      </c>
      <c r="E150" t="s">
        <v>40</v>
      </c>
      <c r="F150" t="s">
        <v>134</v>
      </c>
      <c r="G150" t="s">
        <v>16</v>
      </c>
      <c r="H150" t="s">
        <v>17</v>
      </c>
      <c r="I150" t="s">
        <v>18</v>
      </c>
      <c r="J150" t="s">
        <v>18</v>
      </c>
      <c r="K150">
        <v>3</v>
      </c>
      <c r="L150">
        <v>3</v>
      </c>
      <c r="M150">
        <v>550</v>
      </c>
      <c r="N150">
        <v>550</v>
      </c>
      <c r="P150">
        <v>3</v>
      </c>
      <c r="Q150">
        <v>350</v>
      </c>
      <c r="R150" t="s">
        <v>199</v>
      </c>
      <c r="S150">
        <v>1650</v>
      </c>
      <c r="T150">
        <v>1050</v>
      </c>
      <c r="U150">
        <v>600</v>
      </c>
      <c r="V150">
        <v>0.36363636363636398</v>
      </c>
      <c r="W150" t="s">
        <v>211</v>
      </c>
    </row>
    <row r="151" spans="1:23">
      <c r="A151">
        <v>10332</v>
      </c>
      <c r="B151">
        <v>45362</v>
      </c>
      <c r="C151">
        <v>45362</v>
      </c>
      <c r="D151" t="s">
        <v>40</v>
      </c>
      <c r="E151" t="s">
        <v>40</v>
      </c>
      <c r="F151" t="s">
        <v>46</v>
      </c>
      <c r="G151" t="s">
        <v>46</v>
      </c>
      <c r="H151" t="s">
        <v>25</v>
      </c>
      <c r="I151" t="s">
        <v>97</v>
      </c>
      <c r="J151" t="s">
        <v>97</v>
      </c>
      <c r="K151">
        <v>10</v>
      </c>
      <c r="L151">
        <v>10</v>
      </c>
      <c r="N151">
        <v>0</v>
      </c>
      <c r="P151">
        <v>10</v>
      </c>
      <c r="Q151">
        <v>250</v>
      </c>
      <c r="R151" t="s">
        <v>199</v>
      </c>
      <c r="S151">
        <v>0</v>
      </c>
      <c r="T151">
        <v>2500</v>
      </c>
      <c r="U151">
        <v>-2500</v>
      </c>
      <c r="V151">
        <v>0</v>
      </c>
      <c r="W151" t="s">
        <v>211</v>
      </c>
    </row>
    <row r="152" spans="1:23">
      <c r="A152">
        <v>10329</v>
      </c>
      <c r="B152">
        <v>45299</v>
      </c>
      <c r="C152">
        <v>45299</v>
      </c>
      <c r="D152" t="s">
        <v>19</v>
      </c>
      <c r="E152" t="s">
        <v>19</v>
      </c>
      <c r="F152" t="s">
        <v>114</v>
      </c>
      <c r="G152" t="s">
        <v>46</v>
      </c>
      <c r="H152" t="s">
        <v>111</v>
      </c>
      <c r="I152" t="s">
        <v>112</v>
      </c>
      <c r="J152" t="s">
        <v>112</v>
      </c>
      <c r="K152">
        <v>1</v>
      </c>
      <c r="L152">
        <v>1</v>
      </c>
      <c r="M152">
        <v>850</v>
      </c>
      <c r="N152">
        <v>850</v>
      </c>
      <c r="P152">
        <v>1</v>
      </c>
      <c r="Q152">
        <v>550</v>
      </c>
      <c r="R152" t="s">
        <v>201</v>
      </c>
      <c r="S152">
        <v>850</v>
      </c>
      <c r="T152">
        <v>550</v>
      </c>
      <c r="U152">
        <v>300</v>
      </c>
      <c r="V152">
        <v>0.35294117647058798</v>
      </c>
      <c r="W152" t="s">
        <v>209</v>
      </c>
    </row>
    <row r="153" spans="1:23">
      <c r="A153">
        <v>10244</v>
      </c>
      <c r="B153">
        <v>45474</v>
      </c>
      <c r="C153">
        <v>45474</v>
      </c>
      <c r="D153" t="s">
        <v>40</v>
      </c>
      <c r="E153" t="s">
        <v>40</v>
      </c>
      <c r="F153" t="s">
        <v>16</v>
      </c>
      <c r="G153" t="s">
        <v>16</v>
      </c>
      <c r="H153" t="s">
        <v>65</v>
      </c>
      <c r="I153" t="s">
        <v>73</v>
      </c>
      <c r="J153" t="s">
        <v>73</v>
      </c>
      <c r="K153">
        <v>10</v>
      </c>
      <c r="L153">
        <v>10</v>
      </c>
      <c r="M153">
        <v>700</v>
      </c>
      <c r="N153">
        <v>700</v>
      </c>
      <c r="P153">
        <v>10</v>
      </c>
      <c r="Q153">
        <v>400</v>
      </c>
      <c r="R153" t="s">
        <v>199</v>
      </c>
      <c r="S153">
        <v>7000</v>
      </c>
      <c r="T153">
        <v>4000</v>
      </c>
      <c r="U153">
        <v>3000</v>
      </c>
      <c r="V153">
        <v>0.42857142857142899</v>
      </c>
      <c r="W153" t="s">
        <v>215</v>
      </c>
    </row>
    <row r="154" spans="1:23">
      <c r="A154">
        <v>10013</v>
      </c>
      <c r="B154">
        <v>45292</v>
      </c>
      <c r="C154">
        <v>45292</v>
      </c>
      <c r="D154" t="s">
        <v>74</v>
      </c>
      <c r="E154" t="s">
        <v>74</v>
      </c>
      <c r="F154" t="s">
        <v>146</v>
      </c>
      <c r="G154" t="s">
        <v>62</v>
      </c>
      <c r="H154" t="s">
        <v>77</v>
      </c>
      <c r="I154" t="s">
        <v>78</v>
      </c>
      <c r="J154" t="s">
        <v>207</v>
      </c>
      <c r="K154">
        <v>2</v>
      </c>
      <c r="L154">
        <v>2</v>
      </c>
      <c r="M154">
        <v>1800</v>
      </c>
      <c r="N154">
        <v>1800</v>
      </c>
      <c r="P154">
        <v>2</v>
      </c>
      <c r="Q154">
        <v>1200</v>
      </c>
      <c r="R154" t="s">
        <v>201</v>
      </c>
      <c r="S154">
        <v>3600</v>
      </c>
      <c r="T154">
        <v>2400</v>
      </c>
      <c r="U154">
        <v>1200</v>
      </c>
      <c r="V154">
        <v>0.33333333333333298</v>
      </c>
      <c r="W154" t="s">
        <v>209</v>
      </c>
    </row>
    <row r="155" spans="1:23">
      <c r="A155">
        <v>10250</v>
      </c>
      <c r="B155">
        <v>45315</v>
      </c>
      <c r="C155">
        <v>45315</v>
      </c>
      <c r="D155" t="s">
        <v>19</v>
      </c>
      <c r="E155" t="s">
        <v>19</v>
      </c>
      <c r="F155" t="s">
        <v>48</v>
      </c>
      <c r="G155" t="s">
        <v>48</v>
      </c>
      <c r="H155" t="s">
        <v>10</v>
      </c>
      <c r="I155" t="s">
        <v>147</v>
      </c>
      <c r="J155" t="s">
        <v>11</v>
      </c>
      <c r="L155">
        <v>0</v>
      </c>
      <c r="M155">
        <v>1400</v>
      </c>
      <c r="N155">
        <v>1400</v>
      </c>
      <c r="P155">
        <v>0</v>
      </c>
      <c r="Q155">
        <v>800</v>
      </c>
      <c r="R155" t="s">
        <v>201</v>
      </c>
      <c r="S155">
        <v>0</v>
      </c>
      <c r="T155">
        <v>0</v>
      </c>
      <c r="U155">
        <v>0</v>
      </c>
      <c r="V155">
        <v>0</v>
      </c>
      <c r="W155" t="s">
        <v>209</v>
      </c>
    </row>
    <row r="156" spans="1:23">
      <c r="A156">
        <v>10258</v>
      </c>
      <c r="B156">
        <v>45378</v>
      </c>
      <c r="C156">
        <v>45378</v>
      </c>
      <c r="D156" t="s">
        <v>145</v>
      </c>
      <c r="E156" t="s">
        <v>19</v>
      </c>
      <c r="F156" t="s">
        <v>16</v>
      </c>
      <c r="G156" t="s">
        <v>16</v>
      </c>
      <c r="H156" t="s">
        <v>10</v>
      </c>
      <c r="I156" t="s">
        <v>11</v>
      </c>
      <c r="J156" t="s">
        <v>11</v>
      </c>
      <c r="K156">
        <v>10</v>
      </c>
      <c r="L156">
        <v>10</v>
      </c>
      <c r="M156">
        <v>1350</v>
      </c>
      <c r="N156">
        <v>1350</v>
      </c>
      <c r="P156">
        <v>10</v>
      </c>
      <c r="Q156">
        <v>800</v>
      </c>
      <c r="R156" t="s">
        <v>201</v>
      </c>
      <c r="S156">
        <v>13500</v>
      </c>
      <c r="T156">
        <v>8000</v>
      </c>
      <c r="U156">
        <v>5500</v>
      </c>
      <c r="V156">
        <v>0.407407407407407</v>
      </c>
      <c r="W156" t="s">
        <v>211</v>
      </c>
    </row>
    <row r="157" spans="1:23">
      <c r="A157">
        <v>10143</v>
      </c>
      <c r="B157">
        <v>45307</v>
      </c>
      <c r="C157">
        <v>45307</v>
      </c>
      <c r="D157" t="s">
        <v>15</v>
      </c>
      <c r="E157" t="s">
        <v>15</v>
      </c>
      <c r="F157" t="s">
        <v>48</v>
      </c>
      <c r="G157" t="s">
        <v>48</v>
      </c>
      <c r="H157" t="s">
        <v>111</v>
      </c>
      <c r="I157" t="s">
        <v>112</v>
      </c>
      <c r="J157" t="s">
        <v>112</v>
      </c>
      <c r="K157">
        <v>3</v>
      </c>
      <c r="L157">
        <v>3</v>
      </c>
      <c r="M157">
        <v>900</v>
      </c>
      <c r="N157">
        <v>900</v>
      </c>
      <c r="P157">
        <v>3</v>
      </c>
      <c r="Q157">
        <v>550</v>
      </c>
      <c r="R157" t="s">
        <v>201</v>
      </c>
      <c r="S157">
        <v>2700</v>
      </c>
      <c r="T157">
        <v>1650</v>
      </c>
      <c r="U157">
        <v>1050</v>
      </c>
      <c r="V157">
        <v>0.38888888888888901</v>
      </c>
      <c r="W157" t="s">
        <v>209</v>
      </c>
    </row>
    <row r="158" spans="1:23">
      <c r="A158">
        <v>10166</v>
      </c>
      <c r="B158">
        <v>45333</v>
      </c>
      <c r="C158">
        <v>45333</v>
      </c>
      <c r="D158" t="s">
        <v>41</v>
      </c>
      <c r="E158" t="s">
        <v>41</v>
      </c>
      <c r="F158" t="s">
        <v>46</v>
      </c>
      <c r="G158" t="s">
        <v>46</v>
      </c>
      <c r="H158" t="s">
        <v>55</v>
      </c>
      <c r="I158" t="s">
        <v>56</v>
      </c>
      <c r="J158" t="s">
        <v>256</v>
      </c>
      <c r="K158">
        <v>8</v>
      </c>
      <c r="L158">
        <v>8</v>
      </c>
      <c r="M158">
        <v>780</v>
      </c>
      <c r="N158">
        <v>780</v>
      </c>
      <c r="P158">
        <v>8</v>
      </c>
      <c r="Q158">
        <v>480</v>
      </c>
      <c r="R158" t="s">
        <v>200</v>
      </c>
      <c r="S158">
        <v>6240</v>
      </c>
      <c r="T158">
        <v>3840</v>
      </c>
      <c r="U158">
        <v>2400</v>
      </c>
      <c r="V158">
        <v>0.38461538461538503</v>
      </c>
      <c r="W158" t="s">
        <v>210</v>
      </c>
    </row>
    <row r="159" spans="1:23">
      <c r="A159">
        <v>10321</v>
      </c>
      <c r="B159">
        <v>45333</v>
      </c>
      <c r="C159">
        <v>45333</v>
      </c>
      <c r="D159" t="s">
        <v>15</v>
      </c>
      <c r="E159" t="s">
        <v>15</v>
      </c>
      <c r="F159" t="s">
        <v>62</v>
      </c>
      <c r="G159" t="s">
        <v>62</v>
      </c>
      <c r="H159" t="s">
        <v>30</v>
      </c>
      <c r="I159" t="s">
        <v>140</v>
      </c>
      <c r="J159" t="s">
        <v>208</v>
      </c>
      <c r="K159">
        <v>12</v>
      </c>
      <c r="L159">
        <v>12</v>
      </c>
      <c r="M159">
        <v>1800</v>
      </c>
      <c r="N159">
        <v>1800</v>
      </c>
      <c r="P159">
        <v>12</v>
      </c>
      <c r="Q159">
        <v>1100</v>
      </c>
      <c r="R159" t="s">
        <v>202</v>
      </c>
      <c r="S159">
        <v>21600</v>
      </c>
      <c r="T159">
        <v>13200</v>
      </c>
      <c r="U159">
        <v>8400</v>
      </c>
      <c r="V159">
        <v>0.38888888888888901</v>
      </c>
      <c r="W159" t="s">
        <v>210</v>
      </c>
    </row>
    <row r="160" spans="1:23">
      <c r="A160">
        <v>10174</v>
      </c>
      <c r="B160">
        <v>45377</v>
      </c>
      <c r="C160">
        <v>45377</v>
      </c>
      <c r="D160" t="s">
        <v>63</v>
      </c>
      <c r="E160" t="s">
        <v>41</v>
      </c>
      <c r="F160" t="s">
        <v>24</v>
      </c>
      <c r="G160" t="s">
        <v>24</v>
      </c>
      <c r="H160" t="s">
        <v>90</v>
      </c>
      <c r="I160" t="s">
        <v>144</v>
      </c>
      <c r="J160" t="s">
        <v>96</v>
      </c>
      <c r="K160">
        <v>8</v>
      </c>
      <c r="L160">
        <v>8</v>
      </c>
      <c r="M160">
        <v>5300</v>
      </c>
      <c r="N160">
        <v>5300</v>
      </c>
      <c r="P160">
        <v>8</v>
      </c>
      <c r="Q160">
        <v>3500</v>
      </c>
      <c r="R160" t="s">
        <v>202</v>
      </c>
      <c r="S160">
        <v>42400</v>
      </c>
      <c r="T160">
        <v>28000</v>
      </c>
      <c r="U160">
        <v>14400</v>
      </c>
      <c r="V160">
        <v>0.339622641509434</v>
      </c>
      <c r="W160" t="s">
        <v>211</v>
      </c>
    </row>
    <row r="161" spans="1:23">
      <c r="A161">
        <v>10063</v>
      </c>
      <c r="B161" t="s">
        <v>117</v>
      </c>
      <c r="C161">
        <v>45311</v>
      </c>
      <c r="D161" t="s">
        <v>74</v>
      </c>
      <c r="E161" t="s">
        <v>74</v>
      </c>
      <c r="F161" t="s">
        <v>27</v>
      </c>
      <c r="G161" t="s">
        <v>81</v>
      </c>
      <c r="H161" t="s">
        <v>10</v>
      </c>
      <c r="I161" t="s">
        <v>11</v>
      </c>
      <c r="J161" t="s">
        <v>11</v>
      </c>
      <c r="K161">
        <v>5</v>
      </c>
      <c r="L161">
        <v>5</v>
      </c>
      <c r="M161">
        <v>1300</v>
      </c>
      <c r="N161">
        <v>1300</v>
      </c>
      <c r="P161">
        <v>5</v>
      </c>
      <c r="Q161">
        <v>800</v>
      </c>
      <c r="R161" t="s">
        <v>201</v>
      </c>
      <c r="S161">
        <v>6500</v>
      </c>
      <c r="T161">
        <v>4000</v>
      </c>
      <c r="U161">
        <v>2500</v>
      </c>
      <c r="V161">
        <v>0.38461538461538503</v>
      </c>
      <c r="W161" t="s">
        <v>209</v>
      </c>
    </row>
    <row r="162" spans="1:23">
      <c r="A162">
        <v>10305</v>
      </c>
      <c r="B162">
        <v>45332</v>
      </c>
      <c r="C162">
        <v>45332</v>
      </c>
      <c r="D162" t="s">
        <v>40</v>
      </c>
      <c r="E162" t="s">
        <v>40</v>
      </c>
      <c r="F162" t="s">
        <v>149</v>
      </c>
      <c r="G162" t="s">
        <v>62</v>
      </c>
      <c r="H162" t="s">
        <v>17</v>
      </c>
      <c r="I162" t="s">
        <v>18</v>
      </c>
      <c r="J162" t="s">
        <v>18</v>
      </c>
      <c r="K162">
        <v>20</v>
      </c>
      <c r="L162">
        <v>20</v>
      </c>
      <c r="M162">
        <v>550</v>
      </c>
      <c r="N162">
        <v>550</v>
      </c>
      <c r="P162">
        <v>20</v>
      </c>
      <c r="Q162">
        <v>350</v>
      </c>
      <c r="R162" t="s">
        <v>199</v>
      </c>
      <c r="S162">
        <v>11000</v>
      </c>
      <c r="T162">
        <v>7000</v>
      </c>
      <c r="U162">
        <v>4000</v>
      </c>
      <c r="V162">
        <v>0.36363636363636398</v>
      </c>
      <c r="W162" t="s">
        <v>210</v>
      </c>
    </row>
    <row r="163" spans="1:23">
      <c r="A163">
        <v>10286</v>
      </c>
      <c r="B163" t="s">
        <v>150</v>
      </c>
      <c r="C163">
        <v>45376</v>
      </c>
      <c r="E163" t="s">
        <v>205</v>
      </c>
      <c r="F163" t="s">
        <v>49</v>
      </c>
      <c r="G163" t="s">
        <v>48</v>
      </c>
      <c r="H163" t="s">
        <v>10</v>
      </c>
      <c r="I163" t="s">
        <v>11</v>
      </c>
      <c r="J163" t="s">
        <v>11</v>
      </c>
      <c r="K163">
        <v>6</v>
      </c>
      <c r="L163">
        <v>6</v>
      </c>
      <c r="M163">
        <v>1250</v>
      </c>
      <c r="N163">
        <v>1250</v>
      </c>
      <c r="P163">
        <v>6</v>
      </c>
      <c r="Q163">
        <v>800</v>
      </c>
      <c r="R163" t="s">
        <v>201</v>
      </c>
      <c r="S163">
        <v>7500</v>
      </c>
      <c r="T163">
        <v>4800</v>
      </c>
      <c r="U163">
        <v>2700</v>
      </c>
      <c r="V163">
        <v>0.36</v>
      </c>
      <c r="W163" t="s">
        <v>211</v>
      </c>
    </row>
    <row r="164" spans="1:23">
      <c r="A164">
        <v>10294</v>
      </c>
      <c r="B164">
        <v>45365</v>
      </c>
      <c r="C164">
        <v>45365</v>
      </c>
      <c r="D164" t="s">
        <v>23</v>
      </c>
      <c r="E164" t="s">
        <v>35</v>
      </c>
      <c r="F164" t="s">
        <v>48</v>
      </c>
      <c r="G164" t="s">
        <v>48</v>
      </c>
      <c r="H164" t="s">
        <v>30</v>
      </c>
      <c r="I164" t="s">
        <v>31</v>
      </c>
      <c r="J164" t="s">
        <v>208</v>
      </c>
      <c r="K164">
        <v>3</v>
      </c>
      <c r="L164">
        <v>3</v>
      </c>
      <c r="M164">
        <v>1650</v>
      </c>
      <c r="N164">
        <v>1650</v>
      </c>
      <c r="P164">
        <v>3</v>
      </c>
      <c r="Q164">
        <v>1100</v>
      </c>
      <c r="R164" t="s">
        <v>202</v>
      </c>
      <c r="S164">
        <v>4950</v>
      </c>
      <c r="T164">
        <v>3300</v>
      </c>
      <c r="U164">
        <v>1650</v>
      </c>
      <c r="V164">
        <v>0.33333333333333298</v>
      </c>
      <c r="W164" t="s">
        <v>211</v>
      </c>
    </row>
    <row r="165" spans="1:23">
      <c r="A165">
        <v>10243</v>
      </c>
      <c r="B165">
        <v>45415</v>
      </c>
      <c r="C165">
        <v>45415</v>
      </c>
      <c r="D165" t="s">
        <v>15</v>
      </c>
      <c r="E165" t="s">
        <v>15</v>
      </c>
      <c r="F165" t="s">
        <v>16</v>
      </c>
      <c r="G165" t="s">
        <v>16</v>
      </c>
      <c r="H165" t="s">
        <v>25</v>
      </c>
      <c r="I165" t="s">
        <v>26</v>
      </c>
      <c r="J165" t="s">
        <v>26</v>
      </c>
      <c r="K165">
        <v>20</v>
      </c>
      <c r="L165">
        <v>20</v>
      </c>
      <c r="M165">
        <v>370</v>
      </c>
      <c r="N165">
        <v>370</v>
      </c>
      <c r="P165">
        <v>20</v>
      </c>
      <c r="Q165">
        <v>250</v>
      </c>
      <c r="R165" t="s">
        <v>199</v>
      </c>
      <c r="S165">
        <v>7400</v>
      </c>
      <c r="T165">
        <v>5000</v>
      </c>
      <c r="U165">
        <v>2400</v>
      </c>
      <c r="V165">
        <v>0.32432432432432401</v>
      </c>
      <c r="W165" t="s">
        <v>213</v>
      </c>
    </row>
    <row r="166" spans="1:23">
      <c r="A166">
        <v>10134</v>
      </c>
      <c r="B166">
        <v>45314</v>
      </c>
      <c r="C166">
        <v>45314</v>
      </c>
      <c r="E166" t="s">
        <v>205</v>
      </c>
      <c r="F166" t="s">
        <v>48</v>
      </c>
      <c r="G166" t="s">
        <v>48</v>
      </c>
      <c r="H166" t="s">
        <v>10</v>
      </c>
      <c r="I166" t="s">
        <v>11</v>
      </c>
      <c r="J166" t="s">
        <v>11</v>
      </c>
      <c r="K166">
        <v>10</v>
      </c>
      <c r="L166">
        <v>10</v>
      </c>
      <c r="M166">
        <v>1300</v>
      </c>
      <c r="N166">
        <v>1300</v>
      </c>
      <c r="P166">
        <v>10</v>
      </c>
      <c r="Q166">
        <v>800</v>
      </c>
      <c r="R166" t="s">
        <v>201</v>
      </c>
      <c r="S166">
        <v>13000</v>
      </c>
      <c r="T166">
        <v>8000</v>
      </c>
      <c r="U166">
        <v>5000</v>
      </c>
      <c r="V166">
        <v>0.38461538461538503</v>
      </c>
      <c r="W166" t="s">
        <v>209</v>
      </c>
    </row>
    <row r="167" spans="1:23">
      <c r="A167">
        <v>10308</v>
      </c>
      <c r="B167">
        <v>45363</v>
      </c>
      <c r="C167">
        <v>45363</v>
      </c>
      <c r="D167" t="s">
        <v>19</v>
      </c>
      <c r="E167" t="s">
        <v>19</v>
      </c>
      <c r="F167" t="s">
        <v>149</v>
      </c>
      <c r="G167" t="s">
        <v>62</v>
      </c>
      <c r="H167" t="s">
        <v>65</v>
      </c>
      <c r="I167" t="s">
        <v>73</v>
      </c>
      <c r="J167" t="s">
        <v>73</v>
      </c>
      <c r="K167">
        <v>2</v>
      </c>
      <c r="L167">
        <v>2</v>
      </c>
      <c r="M167">
        <v>650</v>
      </c>
      <c r="N167">
        <v>650</v>
      </c>
      <c r="P167">
        <v>2</v>
      </c>
      <c r="Q167">
        <v>400</v>
      </c>
      <c r="R167" t="s">
        <v>199</v>
      </c>
      <c r="S167">
        <v>1300</v>
      </c>
      <c r="T167">
        <v>800</v>
      </c>
      <c r="U167">
        <v>500</v>
      </c>
      <c r="V167">
        <v>0.38461538461538503</v>
      </c>
      <c r="W167" t="s">
        <v>211</v>
      </c>
    </row>
    <row r="168" spans="1:23">
      <c r="A168">
        <v>10165</v>
      </c>
      <c r="B168" t="s">
        <v>131</v>
      </c>
      <c r="C168">
        <v>45368</v>
      </c>
      <c r="D168" t="s">
        <v>15</v>
      </c>
      <c r="E168" t="s">
        <v>15</v>
      </c>
      <c r="F168" t="s">
        <v>46</v>
      </c>
      <c r="G168" t="s">
        <v>46</v>
      </c>
      <c r="H168" t="s">
        <v>25</v>
      </c>
      <c r="I168" t="s">
        <v>26</v>
      </c>
      <c r="J168" t="s">
        <v>26</v>
      </c>
      <c r="K168">
        <v>15</v>
      </c>
      <c r="L168">
        <v>15</v>
      </c>
      <c r="M168">
        <v>420</v>
      </c>
      <c r="N168">
        <v>420</v>
      </c>
      <c r="P168">
        <v>15</v>
      </c>
      <c r="Q168">
        <v>250</v>
      </c>
      <c r="R168" t="s">
        <v>199</v>
      </c>
      <c r="S168">
        <v>6300</v>
      </c>
      <c r="T168">
        <v>3750</v>
      </c>
      <c r="U168">
        <v>2550</v>
      </c>
      <c r="V168">
        <v>0.40476190476190499</v>
      </c>
      <c r="W168" t="s">
        <v>211</v>
      </c>
    </row>
    <row r="169" spans="1:23">
      <c r="A169">
        <v>10135</v>
      </c>
      <c r="B169">
        <v>45374</v>
      </c>
      <c r="C169">
        <v>45374</v>
      </c>
      <c r="D169" t="s">
        <v>59</v>
      </c>
      <c r="E169" t="s">
        <v>19</v>
      </c>
      <c r="F169" t="s">
        <v>81</v>
      </c>
      <c r="G169" t="s">
        <v>81</v>
      </c>
      <c r="H169" t="s">
        <v>21</v>
      </c>
      <c r="I169" t="s">
        <v>22</v>
      </c>
      <c r="J169" t="s">
        <v>22</v>
      </c>
      <c r="K169">
        <v>3</v>
      </c>
      <c r="L169">
        <v>3</v>
      </c>
      <c r="M169">
        <v>2400</v>
      </c>
      <c r="N169">
        <v>2400</v>
      </c>
      <c r="P169">
        <v>3</v>
      </c>
      <c r="Q169">
        <v>1500</v>
      </c>
      <c r="R169" t="s">
        <v>199</v>
      </c>
      <c r="S169">
        <v>7200</v>
      </c>
      <c r="T169">
        <v>4500</v>
      </c>
      <c r="U169">
        <v>2700</v>
      </c>
      <c r="V169">
        <v>0.375</v>
      </c>
      <c r="W169" t="s">
        <v>211</v>
      </c>
    </row>
    <row r="170" spans="1:23">
      <c r="A170">
        <v>10138</v>
      </c>
      <c r="B170">
        <v>45382</v>
      </c>
      <c r="C170">
        <v>45382</v>
      </c>
      <c r="D170" t="s">
        <v>35</v>
      </c>
      <c r="E170" t="s">
        <v>35</v>
      </c>
      <c r="F170" t="s">
        <v>139</v>
      </c>
      <c r="G170" t="s">
        <v>16</v>
      </c>
      <c r="H170" t="s">
        <v>33</v>
      </c>
      <c r="I170" t="s">
        <v>60</v>
      </c>
      <c r="J170" t="s">
        <v>251</v>
      </c>
      <c r="K170">
        <v>5</v>
      </c>
      <c r="L170">
        <v>5</v>
      </c>
      <c r="M170">
        <v>700</v>
      </c>
      <c r="N170">
        <v>700</v>
      </c>
      <c r="P170">
        <v>5</v>
      </c>
      <c r="Q170">
        <v>450</v>
      </c>
      <c r="R170" t="s">
        <v>202</v>
      </c>
      <c r="S170">
        <v>3500</v>
      </c>
      <c r="T170">
        <v>2250</v>
      </c>
      <c r="U170">
        <v>1250</v>
      </c>
      <c r="V170">
        <v>0.35714285714285698</v>
      </c>
      <c r="W170" t="s">
        <v>211</v>
      </c>
    </row>
    <row r="171" spans="1:23">
      <c r="A171">
        <v>10231</v>
      </c>
      <c r="B171">
        <v>45352</v>
      </c>
      <c r="C171">
        <v>45352</v>
      </c>
      <c r="D171" t="s">
        <v>79</v>
      </c>
      <c r="E171" t="s">
        <v>19</v>
      </c>
      <c r="F171" t="s">
        <v>24</v>
      </c>
      <c r="G171" t="s">
        <v>24</v>
      </c>
      <c r="H171" t="s">
        <v>25</v>
      </c>
      <c r="I171" t="s">
        <v>26</v>
      </c>
      <c r="J171" t="s">
        <v>26</v>
      </c>
      <c r="K171">
        <v>3</v>
      </c>
      <c r="L171">
        <v>3</v>
      </c>
      <c r="M171">
        <v>420</v>
      </c>
      <c r="N171">
        <v>420</v>
      </c>
      <c r="P171">
        <v>3</v>
      </c>
      <c r="Q171">
        <v>250</v>
      </c>
      <c r="R171" t="s">
        <v>199</v>
      </c>
      <c r="S171">
        <v>1260</v>
      </c>
      <c r="T171">
        <v>750</v>
      </c>
      <c r="U171">
        <v>510</v>
      </c>
      <c r="V171">
        <v>0.40476190476190499</v>
      </c>
      <c r="W171" t="s">
        <v>211</v>
      </c>
    </row>
    <row r="172" spans="1:23">
      <c r="A172">
        <v>10147</v>
      </c>
      <c r="B172">
        <v>45336</v>
      </c>
      <c r="C172">
        <v>45336</v>
      </c>
      <c r="D172" t="s">
        <v>29</v>
      </c>
      <c r="E172" t="s">
        <v>40</v>
      </c>
      <c r="F172" t="s">
        <v>48</v>
      </c>
      <c r="G172" t="s">
        <v>48</v>
      </c>
      <c r="H172" t="s">
        <v>10</v>
      </c>
      <c r="I172" t="s">
        <v>11</v>
      </c>
      <c r="J172" t="s">
        <v>11</v>
      </c>
      <c r="K172">
        <v>12</v>
      </c>
      <c r="L172">
        <v>12</v>
      </c>
      <c r="M172">
        <v>1300</v>
      </c>
      <c r="N172">
        <v>1300</v>
      </c>
      <c r="P172">
        <v>12</v>
      </c>
      <c r="Q172">
        <v>800</v>
      </c>
      <c r="R172" t="s">
        <v>201</v>
      </c>
      <c r="S172">
        <v>15600</v>
      </c>
      <c r="T172">
        <v>9600</v>
      </c>
      <c r="U172">
        <v>6000</v>
      </c>
      <c r="V172">
        <v>0.38461538461538503</v>
      </c>
      <c r="W172" t="s">
        <v>210</v>
      </c>
    </row>
    <row r="173" spans="1:23">
      <c r="A173">
        <v>10233</v>
      </c>
      <c r="B173">
        <v>45324</v>
      </c>
      <c r="C173">
        <v>45324</v>
      </c>
      <c r="D173" t="s">
        <v>59</v>
      </c>
      <c r="E173" t="s">
        <v>19</v>
      </c>
      <c r="F173" t="s">
        <v>46</v>
      </c>
      <c r="G173" t="s">
        <v>46</v>
      </c>
      <c r="H173" t="s">
        <v>30</v>
      </c>
      <c r="I173" t="s">
        <v>140</v>
      </c>
      <c r="J173" t="s">
        <v>208</v>
      </c>
      <c r="K173">
        <v>20</v>
      </c>
      <c r="L173">
        <v>20</v>
      </c>
      <c r="M173">
        <v>1700</v>
      </c>
      <c r="N173">
        <v>1700</v>
      </c>
      <c r="P173">
        <v>20</v>
      </c>
      <c r="Q173">
        <v>1100</v>
      </c>
      <c r="R173" t="s">
        <v>202</v>
      </c>
      <c r="S173">
        <v>34000</v>
      </c>
      <c r="T173">
        <v>22000</v>
      </c>
      <c r="U173">
        <v>12000</v>
      </c>
      <c r="V173">
        <v>0.35294117647058798</v>
      </c>
      <c r="W173" t="s">
        <v>210</v>
      </c>
    </row>
    <row r="174" spans="1:23">
      <c r="A174">
        <v>10101</v>
      </c>
      <c r="B174">
        <v>45326</v>
      </c>
      <c r="C174">
        <v>45326</v>
      </c>
      <c r="D174" t="s">
        <v>41</v>
      </c>
      <c r="E174" t="s">
        <v>41</v>
      </c>
      <c r="F174" t="s">
        <v>122</v>
      </c>
      <c r="G174" t="s">
        <v>9</v>
      </c>
      <c r="H174" t="s">
        <v>55</v>
      </c>
      <c r="I174" t="s">
        <v>56</v>
      </c>
      <c r="J174" t="s">
        <v>256</v>
      </c>
      <c r="K174">
        <v>8</v>
      </c>
      <c r="L174">
        <v>8</v>
      </c>
      <c r="M174">
        <v>730</v>
      </c>
      <c r="N174">
        <v>730</v>
      </c>
      <c r="P174">
        <v>8</v>
      </c>
      <c r="Q174">
        <v>480</v>
      </c>
      <c r="R174" t="s">
        <v>200</v>
      </c>
      <c r="S174">
        <v>5840</v>
      </c>
      <c r="T174">
        <v>3840</v>
      </c>
      <c r="U174">
        <v>2000</v>
      </c>
      <c r="V174">
        <v>0.34246575342465801</v>
      </c>
      <c r="W174" t="s">
        <v>210</v>
      </c>
    </row>
    <row r="175" spans="1:23">
      <c r="A175">
        <v>10287</v>
      </c>
      <c r="B175">
        <v>45365</v>
      </c>
      <c r="C175">
        <v>45365</v>
      </c>
      <c r="D175" t="s">
        <v>15</v>
      </c>
      <c r="E175" t="s">
        <v>15</v>
      </c>
      <c r="F175" t="s">
        <v>62</v>
      </c>
      <c r="G175" t="s">
        <v>62</v>
      </c>
      <c r="H175" t="s">
        <v>53</v>
      </c>
      <c r="I175" t="s">
        <v>72</v>
      </c>
      <c r="J175" t="s">
        <v>255</v>
      </c>
      <c r="K175">
        <v>5</v>
      </c>
      <c r="L175">
        <v>5</v>
      </c>
      <c r="M175">
        <v>950</v>
      </c>
      <c r="N175">
        <v>950</v>
      </c>
      <c r="P175">
        <v>5</v>
      </c>
      <c r="Q175">
        <v>600</v>
      </c>
      <c r="R175" t="s">
        <v>200</v>
      </c>
      <c r="S175">
        <v>4750</v>
      </c>
      <c r="T175">
        <v>3000</v>
      </c>
      <c r="U175">
        <v>1750</v>
      </c>
      <c r="V175">
        <v>0.36842105263157898</v>
      </c>
      <c r="W175" t="s">
        <v>211</v>
      </c>
    </row>
    <row r="176" spans="1:23">
      <c r="A176">
        <v>10098</v>
      </c>
      <c r="B176">
        <v>45329</v>
      </c>
      <c r="C176">
        <v>45329</v>
      </c>
      <c r="D176" t="s">
        <v>74</v>
      </c>
      <c r="E176" t="s">
        <v>74</v>
      </c>
      <c r="F176" t="s">
        <v>62</v>
      </c>
      <c r="G176" t="s">
        <v>62</v>
      </c>
      <c r="H176" t="s">
        <v>33</v>
      </c>
      <c r="I176" t="s">
        <v>60</v>
      </c>
      <c r="J176" t="s">
        <v>251</v>
      </c>
      <c r="K176">
        <v>6</v>
      </c>
      <c r="L176">
        <v>6</v>
      </c>
      <c r="M176">
        <v>800</v>
      </c>
      <c r="N176">
        <v>800</v>
      </c>
      <c r="P176">
        <v>6</v>
      </c>
      <c r="Q176">
        <v>450</v>
      </c>
      <c r="R176" t="s">
        <v>202</v>
      </c>
      <c r="S176">
        <v>4800</v>
      </c>
      <c r="T176">
        <v>2700</v>
      </c>
      <c r="U176">
        <v>2100</v>
      </c>
      <c r="V176">
        <v>0.4375</v>
      </c>
      <c r="W176" t="s">
        <v>210</v>
      </c>
    </row>
    <row r="177" spans="1:23">
      <c r="A177">
        <v>10319</v>
      </c>
      <c r="B177">
        <v>45355</v>
      </c>
      <c r="C177">
        <v>45355</v>
      </c>
      <c r="D177" t="s">
        <v>95</v>
      </c>
      <c r="E177" t="s">
        <v>35</v>
      </c>
      <c r="F177" t="s">
        <v>81</v>
      </c>
      <c r="G177" t="s">
        <v>81</v>
      </c>
      <c r="H177" t="s">
        <v>30</v>
      </c>
      <c r="I177" t="s">
        <v>31</v>
      </c>
      <c r="J177" t="s">
        <v>208</v>
      </c>
      <c r="K177">
        <v>1</v>
      </c>
      <c r="L177">
        <v>1</v>
      </c>
      <c r="M177">
        <v>1700</v>
      </c>
      <c r="N177">
        <v>1700</v>
      </c>
      <c r="P177">
        <v>1</v>
      </c>
      <c r="Q177">
        <v>1100</v>
      </c>
      <c r="R177" t="s">
        <v>202</v>
      </c>
      <c r="S177">
        <v>1700</v>
      </c>
      <c r="T177">
        <v>1100</v>
      </c>
      <c r="U177">
        <v>600</v>
      </c>
      <c r="V177">
        <v>0.35294117647058798</v>
      </c>
      <c r="W177" t="s">
        <v>211</v>
      </c>
    </row>
    <row r="178" spans="1:23">
      <c r="A178">
        <v>10011</v>
      </c>
      <c r="B178">
        <v>45299</v>
      </c>
      <c r="C178">
        <v>45299</v>
      </c>
      <c r="D178" t="s">
        <v>15</v>
      </c>
      <c r="E178" t="s">
        <v>15</v>
      </c>
      <c r="F178" t="s">
        <v>139</v>
      </c>
      <c r="G178" t="s">
        <v>16</v>
      </c>
      <c r="H178" t="s">
        <v>50</v>
      </c>
      <c r="I178" t="s">
        <v>89</v>
      </c>
      <c r="J178" t="s">
        <v>257</v>
      </c>
      <c r="K178">
        <v>10</v>
      </c>
      <c r="L178">
        <v>10</v>
      </c>
      <c r="M178">
        <v>1400</v>
      </c>
      <c r="N178">
        <v>1400</v>
      </c>
      <c r="P178">
        <v>10</v>
      </c>
      <c r="Q178">
        <v>900</v>
      </c>
      <c r="R178" t="s">
        <v>200</v>
      </c>
      <c r="S178">
        <v>14000</v>
      </c>
      <c r="T178">
        <v>9000</v>
      </c>
      <c r="U178">
        <v>5000</v>
      </c>
      <c r="V178">
        <v>0.35714285714285698</v>
      </c>
      <c r="W178" t="s">
        <v>209</v>
      </c>
    </row>
    <row r="179" spans="1:23">
      <c r="A179">
        <v>10274</v>
      </c>
      <c r="B179">
        <v>45328</v>
      </c>
      <c r="C179">
        <v>45328</v>
      </c>
      <c r="D179" t="s">
        <v>152</v>
      </c>
      <c r="E179" t="s">
        <v>41</v>
      </c>
      <c r="F179" t="s">
        <v>48</v>
      </c>
      <c r="G179" t="s">
        <v>48</v>
      </c>
      <c r="H179" t="s">
        <v>65</v>
      </c>
      <c r="I179" t="s">
        <v>73</v>
      </c>
      <c r="J179" t="s">
        <v>73</v>
      </c>
      <c r="K179">
        <v>20</v>
      </c>
      <c r="L179">
        <v>20</v>
      </c>
      <c r="M179">
        <v>600</v>
      </c>
      <c r="N179">
        <v>600</v>
      </c>
      <c r="P179">
        <v>20</v>
      </c>
      <c r="Q179">
        <v>400</v>
      </c>
      <c r="R179" t="s">
        <v>199</v>
      </c>
      <c r="S179">
        <v>12000</v>
      </c>
      <c r="T179">
        <v>8000</v>
      </c>
      <c r="U179">
        <v>4000</v>
      </c>
      <c r="V179">
        <v>0.33333333333333298</v>
      </c>
      <c r="W179" t="s">
        <v>210</v>
      </c>
    </row>
    <row r="180" spans="1:23">
      <c r="A180">
        <v>10110</v>
      </c>
      <c r="B180">
        <v>45380</v>
      </c>
      <c r="C180">
        <v>45380</v>
      </c>
      <c r="D180" t="s">
        <v>41</v>
      </c>
      <c r="E180" t="s">
        <v>41</v>
      </c>
      <c r="F180" t="s">
        <v>24</v>
      </c>
      <c r="G180" t="s">
        <v>24</v>
      </c>
      <c r="H180" t="s">
        <v>38</v>
      </c>
      <c r="I180" t="s">
        <v>39</v>
      </c>
      <c r="J180" t="s">
        <v>252</v>
      </c>
      <c r="K180">
        <v>1</v>
      </c>
      <c r="L180">
        <v>1</v>
      </c>
      <c r="M180">
        <v>500</v>
      </c>
      <c r="N180">
        <v>500</v>
      </c>
      <c r="P180">
        <v>1</v>
      </c>
      <c r="Q180">
        <v>300</v>
      </c>
      <c r="R180" t="s">
        <v>200</v>
      </c>
      <c r="S180">
        <v>500</v>
      </c>
      <c r="T180">
        <v>300</v>
      </c>
      <c r="U180">
        <v>200</v>
      </c>
      <c r="V180">
        <v>0.4</v>
      </c>
      <c r="W180" t="s">
        <v>211</v>
      </c>
    </row>
    <row r="181" spans="1:23">
      <c r="A181">
        <v>10064</v>
      </c>
      <c r="B181">
        <v>45568</v>
      </c>
      <c r="C181">
        <v>45568</v>
      </c>
      <c r="D181" t="s">
        <v>74</v>
      </c>
      <c r="E181" t="s">
        <v>74</v>
      </c>
      <c r="F181" t="s">
        <v>153</v>
      </c>
      <c r="G181" t="s">
        <v>16</v>
      </c>
      <c r="H181" t="s">
        <v>77</v>
      </c>
      <c r="I181" t="s">
        <v>154</v>
      </c>
      <c r="J181" t="s">
        <v>207</v>
      </c>
      <c r="K181">
        <v>20</v>
      </c>
      <c r="L181">
        <v>20</v>
      </c>
      <c r="M181">
        <v>1850</v>
      </c>
      <c r="N181">
        <v>1850</v>
      </c>
      <c r="P181">
        <v>20</v>
      </c>
      <c r="Q181">
        <v>1200</v>
      </c>
      <c r="R181" t="s">
        <v>201</v>
      </c>
      <c r="S181">
        <v>37000</v>
      </c>
      <c r="T181">
        <v>24000</v>
      </c>
      <c r="U181">
        <v>13000</v>
      </c>
      <c r="V181">
        <v>0.35135135135135098</v>
      </c>
      <c r="W181" t="s">
        <v>218</v>
      </c>
    </row>
    <row r="182" spans="1:23">
      <c r="A182">
        <v>10118</v>
      </c>
      <c r="B182">
        <v>45371</v>
      </c>
      <c r="C182">
        <v>45371</v>
      </c>
      <c r="D182" t="s">
        <v>40</v>
      </c>
      <c r="E182" t="s">
        <v>40</v>
      </c>
      <c r="F182" t="s">
        <v>24</v>
      </c>
      <c r="G182" t="s">
        <v>24</v>
      </c>
      <c r="H182" t="s">
        <v>55</v>
      </c>
      <c r="I182" t="s">
        <v>56</v>
      </c>
      <c r="J182" t="s">
        <v>256</v>
      </c>
      <c r="K182">
        <v>15</v>
      </c>
      <c r="L182">
        <v>15</v>
      </c>
      <c r="N182">
        <v>0</v>
      </c>
      <c r="P182">
        <v>15</v>
      </c>
      <c r="Q182">
        <v>480</v>
      </c>
      <c r="R182" t="s">
        <v>200</v>
      </c>
      <c r="S182">
        <v>0</v>
      </c>
      <c r="T182">
        <v>7200</v>
      </c>
      <c r="U182">
        <v>-7200</v>
      </c>
      <c r="V182">
        <v>0</v>
      </c>
      <c r="W182" t="s">
        <v>211</v>
      </c>
    </row>
    <row r="183" spans="1:23">
      <c r="A183">
        <v>10084</v>
      </c>
      <c r="B183">
        <v>45295</v>
      </c>
      <c r="C183">
        <v>45295</v>
      </c>
      <c r="D183" t="s">
        <v>15</v>
      </c>
      <c r="E183" t="s">
        <v>15</v>
      </c>
      <c r="F183" t="s">
        <v>46</v>
      </c>
      <c r="G183" t="s">
        <v>46</v>
      </c>
      <c r="H183" t="s">
        <v>30</v>
      </c>
      <c r="I183" t="s">
        <v>127</v>
      </c>
      <c r="J183" t="s">
        <v>208</v>
      </c>
      <c r="K183">
        <v>5</v>
      </c>
      <c r="L183">
        <v>5</v>
      </c>
      <c r="M183">
        <v>1700</v>
      </c>
      <c r="N183">
        <v>1700</v>
      </c>
      <c r="P183">
        <v>5</v>
      </c>
      <c r="Q183">
        <v>1100</v>
      </c>
      <c r="R183" t="s">
        <v>202</v>
      </c>
      <c r="S183">
        <v>8500</v>
      </c>
      <c r="T183">
        <v>5500</v>
      </c>
      <c r="U183">
        <v>3000</v>
      </c>
      <c r="V183">
        <v>0.35294117647058798</v>
      </c>
      <c r="W183" t="s">
        <v>209</v>
      </c>
    </row>
    <row r="184" spans="1:23">
      <c r="A184">
        <v>10224</v>
      </c>
      <c r="B184">
        <v>45378</v>
      </c>
      <c r="C184">
        <v>45378</v>
      </c>
      <c r="D184" t="s">
        <v>19</v>
      </c>
      <c r="E184" t="s">
        <v>19</v>
      </c>
      <c r="F184" t="s">
        <v>9</v>
      </c>
      <c r="G184" t="s">
        <v>9</v>
      </c>
      <c r="H184" t="s">
        <v>50</v>
      </c>
      <c r="I184" t="s">
        <v>51</v>
      </c>
      <c r="J184" t="s">
        <v>254</v>
      </c>
      <c r="K184">
        <v>10</v>
      </c>
      <c r="L184">
        <v>10</v>
      </c>
      <c r="M184">
        <v>1450</v>
      </c>
      <c r="N184">
        <v>1450</v>
      </c>
      <c r="P184">
        <v>10</v>
      </c>
      <c r="Q184">
        <v>900</v>
      </c>
      <c r="R184" t="s">
        <v>200</v>
      </c>
      <c r="S184">
        <v>14500</v>
      </c>
      <c r="T184">
        <v>9000</v>
      </c>
      <c r="U184">
        <v>5500</v>
      </c>
      <c r="V184">
        <v>0.37931034482758602</v>
      </c>
      <c r="W184" t="s">
        <v>211</v>
      </c>
    </row>
    <row r="185" spans="1:23">
      <c r="A185">
        <v>10252</v>
      </c>
      <c r="B185">
        <v>45323</v>
      </c>
      <c r="C185">
        <v>45323</v>
      </c>
      <c r="E185" t="s">
        <v>205</v>
      </c>
      <c r="F185" t="s">
        <v>24</v>
      </c>
      <c r="G185" t="s">
        <v>24</v>
      </c>
      <c r="H185" t="s">
        <v>33</v>
      </c>
      <c r="I185" t="s">
        <v>60</v>
      </c>
      <c r="J185" t="s">
        <v>251</v>
      </c>
      <c r="K185">
        <v>20</v>
      </c>
      <c r="L185">
        <v>20</v>
      </c>
      <c r="M185">
        <v>750</v>
      </c>
      <c r="N185">
        <v>750</v>
      </c>
      <c r="P185">
        <v>20</v>
      </c>
      <c r="Q185">
        <v>450</v>
      </c>
      <c r="R185" t="s">
        <v>202</v>
      </c>
      <c r="S185">
        <v>15000</v>
      </c>
      <c r="T185">
        <v>9000</v>
      </c>
      <c r="U185">
        <v>6000</v>
      </c>
      <c r="V185">
        <v>0.4</v>
      </c>
      <c r="W185" t="s">
        <v>210</v>
      </c>
    </row>
    <row r="186" spans="1:23">
      <c r="A186">
        <v>10237</v>
      </c>
      <c r="B186">
        <v>45308</v>
      </c>
      <c r="C186">
        <v>45308</v>
      </c>
      <c r="D186" t="s">
        <v>156</v>
      </c>
      <c r="E186" t="s">
        <v>40</v>
      </c>
      <c r="F186" t="s">
        <v>86</v>
      </c>
      <c r="G186" t="s">
        <v>46</v>
      </c>
      <c r="H186" t="s">
        <v>30</v>
      </c>
      <c r="I186" t="s">
        <v>31</v>
      </c>
      <c r="J186" t="s">
        <v>208</v>
      </c>
      <c r="K186">
        <v>12</v>
      </c>
      <c r="L186">
        <v>12</v>
      </c>
      <c r="M186">
        <v>1700</v>
      </c>
      <c r="N186">
        <v>1700</v>
      </c>
      <c r="P186">
        <v>12</v>
      </c>
      <c r="Q186">
        <v>1100</v>
      </c>
      <c r="R186" t="s">
        <v>202</v>
      </c>
      <c r="S186">
        <v>20400</v>
      </c>
      <c r="T186">
        <v>13200</v>
      </c>
      <c r="U186">
        <v>7200</v>
      </c>
      <c r="V186">
        <v>0.35294117647058798</v>
      </c>
      <c r="W186" t="s">
        <v>209</v>
      </c>
    </row>
    <row r="187" spans="1:23">
      <c r="A187">
        <v>10113</v>
      </c>
      <c r="B187" t="s">
        <v>157</v>
      </c>
      <c r="C187">
        <v>45319</v>
      </c>
      <c r="D187" t="s">
        <v>19</v>
      </c>
      <c r="E187" t="s">
        <v>19</v>
      </c>
      <c r="F187" t="s">
        <v>86</v>
      </c>
      <c r="G187" t="s">
        <v>46</v>
      </c>
      <c r="H187" t="s">
        <v>30</v>
      </c>
      <c r="I187" t="s">
        <v>31</v>
      </c>
      <c r="J187" t="s">
        <v>208</v>
      </c>
      <c r="K187">
        <v>10</v>
      </c>
      <c r="L187">
        <v>10</v>
      </c>
      <c r="M187">
        <v>1700</v>
      </c>
      <c r="N187">
        <v>1700</v>
      </c>
      <c r="P187">
        <v>10</v>
      </c>
      <c r="Q187">
        <v>1100</v>
      </c>
      <c r="R187" t="s">
        <v>202</v>
      </c>
      <c r="S187">
        <v>17000</v>
      </c>
      <c r="T187">
        <v>11000</v>
      </c>
      <c r="U187">
        <v>6000</v>
      </c>
      <c r="V187">
        <v>0.35294117647058798</v>
      </c>
      <c r="W187" t="s">
        <v>209</v>
      </c>
    </row>
    <row r="188" spans="1:23">
      <c r="A188">
        <v>10323</v>
      </c>
      <c r="B188">
        <v>45335</v>
      </c>
      <c r="C188">
        <v>45335</v>
      </c>
      <c r="D188" t="s">
        <v>29</v>
      </c>
      <c r="E188" t="s">
        <v>40</v>
      </c>
      <c r="F188" t="s">
        <v>62</v>
      </c>
      <c r="G188" t="s">
        <v>62</v>
      </c>
      <c r="H188" t="s">
        <v>17</v>
      </c>
      <c r="I188" t="s">
        <v>18</v>
      </c>
      <c r="J188" t="s">
        <v>18</v>
      </c>
      <c r="K188">
        <v>6</v>
      </c>
      <c r="L188">
        <v>6</v>
      </c>
      <c r="M188">
        <v>550</v>
      </c>
      <c r="N188">
        <v>550</v>
      </c>
      <c r="P188">
        <v>6</v>
      </c>
      <c r="Q188">
        <v>350</v>
      </c>
      <c r="R188" t="s">
        <v>199</v>
      </c>
      <c r="S188">
        <v>3300</v>
      </c>
      <c r="T188">
        <v>2100</v>
      </c>
      <c r="U188">
        <v>1200</v>
      </c>
      <c r="V188">
        <v>0.36363636363636398</v>
      </c>
      <c r="W188" t="s">
        <v>210</v>
      </c>
    </row>
    <row r="189" spans="1:23">
      <c r="A189">
        <v>10017</v>
      </c>
      <c r="B189">
        <v>45346</v>
      </c>
      <c r="C189">
        <v>45346</v>
      </c>
      <c r="D189" t="s">
        <v>45</v>
      </c>
      <c r="E189" t="s">
        <v>40</v>
      </c>
      <c r="F189" t="s">
        <v>81</v>
      </c>
      <c r="G189" t="s">
        <v>81</v>
      </c>
      <c r="H189" t="s">
        <v>53</v>
      </c>
      <c r="I189" t="s">
        <v>72</v>
      </c>
      <c r="J189" t="s">
        <v>255</v>
      </c>
      <c r="K189">
        <v>4</v>
      </c>
      <c r="L189">
        <v>4</v>
      </c>
      <c r="M189">
        <v>950</v>
      </c>
      <c r="N189">
        <v>950</v>
      </c>
      <c r="P189">
        <v>4</v>
      </c>
      <c r="Q189">
        <v>600</v>
      </c>
      <c r="R189" t="s">
        <v>200</v>
      </c>
      <c r="S189">
        <v>3800</v>
      </c>
      <c r="T189">
        <v>2400</v>
      </c>
      <c r="U189">
        <v>1400</v>
      </c>
      <c r="V189">
        <v>0.36842105263157898</v>
      </c>
      <c r="W189" t="s">
        <v>210</v>
      </c>
    </row>
    <row r="190" spans="1:23">
      <c r="A190">
        <v>10053</v>
      </c>
      <c r="B190">
        <v>45320</v>
      </c>
      <c r="C190">
        <v>45320</v>
      </c>
      <c r="D190" t="s">
        <v>40</v>
      </c>
      <c r="E190" t="s">
        <v>40</v>
      </c>
      <c r="F190" t="s">
        <v>9</v>
      </c>
      <c r="G190" t="s">
        <v>9</v>
      </c>
      <c r="H190" t="s">
        <v>21</v>
      </c>
      <c r="I190" t="s">
        <v>22</v>
      </c>
      <c r="J190" t="s">
        <v>22</v>
      </c>
      <c r="K190">
        <v>5</v>
      </c>
      <c r="L190">
        <v>5</v>
      </c>
      <c r="M190">
        <v>2300</v>
      </c>
      <c r="N190">
        <v>2300</v>
      </c>
      <c r="P190">
        <v>5</v>
      </c>
      <c r="Q190">
        <v>1500</v>
      </c>
      <c r="R190" t="s">
        <v>199</v>
      </c>
      <c r="S190">
        <v>11500</v>
      </c>
      <c r="T190">
        <v>7500</v>
      </c>
      <c r="U190">
        <v>4000</v>
      </c>
      <c r="V190">
        <v>0.34782608695652201</v>
      </c>
      <c r="W190" t="s">
        <v>209</v>
      </c>
    </row>
    <row r="191" spans="1:23">
      <c r="A191">
        <v>10194</v>
      </c>
      <c r="B191">
        <v>45299</v>
      </c>
      <c r="C191">
        <v>45299</v>
      </c>
      <c r="D191" t="s">
        <v>35</v>
      </c>
      <c r="E191" t="s">
        <v>35</v>
      </c>
      <c r="F191" t="s">
        <v>9</v>
      </c>
      <c r="G191" t="s">
        <v>9</v>
      </c>
      <c r="H191" t="s">
        <v>50</v>
      </c>
      <c r="I191" t="s">
        <v>51</v>
      </c>
      <c r="J191" t="s">
        <v>254</v>
      </c>
      <c r="K191">
        <v>1</v>
      </c>
      <c r="L191">
        <v>1</v>
      </c>
      <c r="M191">
        <v>1450</v>
      </c>
      <c r="N191">
        <v>1450</v>
      </c>
      <c r="P191">
        <v>1</v>
      </c>
      <c r="Q191">
        <v>900</v>
      </c>
      <c r="R191" t="s">
        <v>200</v>
      </c>
      <c r="S191">
        <v>1450</v>
      </c>
      <c r="T191">
        <v>900</v>
      </c>
      <c r="U191">
        <v>550</v>
      </c>
      <c r="V191">
        <v>0.37931034482758602</v>
      </c>
      <c r="W191" t="s">
        <v>209</v>
      </c>
    </row>
    <row r="192" spans="1:23">
      <c r="A192">
        <v>10052</v>
      </c>
      <c r="B192">
        <v>45329</v>
      </c>
      <c r="C192">
        <v>45329</v>
      </c>
      <c r="D192" t="s">
        <v>74</v>
      </c>
      <c r="E192" t="s">
        <v>74</v>
      </c>
      <c r="F192" t="s">
        <v>14</v>
      </c>
      <c r="G192" t="s">
        <v>14</v>
      </c>
      <c r="H192" t="s">
        <v>93</v>
      </c>
      <c r="I192" t="s">
        <v>141</v>
      </c>
      <c r="J192" t="s">
        <v>258</v>
      </c>
      <c r="K192">
        <v>5</v>
      </c>
      <c r="L192">
        <v>5</v>
      </c>
      <c r="M192">
        <v>1150</v>
      </c>
      <c r="N192">
        <v>1150</v>
      </c>
      <c r="P192">
        <v>5</v>
      </c>
      <c r="Q192">
        <v>700</v>
      </c>
      <c r="R192" t="s">
        <v>201</v>
      </c>
      <c r="S192">
        <v>5750</v>
      </c>
      <c r="T192">
        <v>3500</v>
      </c>
      <c r="U192">
        <v>2250</v>
      </c>
      <c r="V192">
        <v>0.39130434782608697</v>
      </c>
      <c r="W192" t="s">
        <v>210</v>
      </c>
    </row>
    <row r="193" spans="1:23">
      <c r="A193">
        <v>10172</v>
      </c>
      <c r="B193">
        <v>45314</v>
      </c>
      <c r="C193">
        <v>45314</v>
      </c>
      <c r="D193" t="s">
        <v>19</v>
      </c>
      <c r="E193" t="s">
        <v>19</v>
      </c>
      <c r="F193" t="s">
        <v>68</v>
      </c>
      <c r="G193" t="s">
        <v>9</v>
      </c>
      <c r="H193" t="s">
        <v>25</v>
      </c>
      <c r="I193" t="s">
        <v>97</v>
      </c>
      <c r="J193" t="s">
        <v>97</v>
      </c>
      <c r="K193">
        <v>12</v>
      </c>
      <c r="L193">
        <v>12</v>
      </c>
      <c r="M193">
        <v>470</v>
      </c>
      <c r="N193">
        <v>470</v>
      </c>
      <c r="P193">
        <v>12</v>
      </c>
      <c r="Q193">
        <v>250</v>
      </c>
      <c r="R193" t="s">
        <v>199</v>
      </c>
      <c r="S193">
        <v>5640</v>
      </c>
      <c r="T193">
        <v>3000</v>
      </c>
      <c r="U193">
        <v>2640</v>
      </c>
      <c r="V193">
        <v>0.46808510638297901</v>
      </c>
      <c r="W193" t="s">
        <v>209</v>
      </c>
    </row>
    <row r="194" spans="1:23">
      <c r="A194">
        <v>10254</v>
      </c>
      <c r="B194">
        <v>45349</v>
      </c>
      <c r="C194">
        <v>45349</v>
      </c>
      <c r="D194" t="s">
        <v>74</v>
      </c>
      <c r="E194" t="s">
        <v>74</v>
      </c>
      <c r="F194" t="s">
        <v>81</v>
      </c>
      <c r="G194" t="s">
        <v>81</v>
      </c>
      <c r="H194" t="s">
        <v>38</v>
      </c>
      <c r="I194" t="s">
        <v>39</v>
      </c>
      <c r="J194" t="s">
        <v>252</v>
      </c>
      <c r="K194">
        <v>-6</v>
      </c>
      <c r="L194">
        <v>-6</v>
      </c>
      <c r="M194">
        <v>450</v>
      </c>
      <c r="N194">
        <v>450</v>
      </c>
      <c r="O194" t="s">
        <v>253</v>
      </c>
      <c r="P194">
        <v>6</v>
      </c>
      <c r="Q194">
        <v>300</v>
      </c>
      <c r="R194" t="s">
        <v>200</v>
      </c>
      <c r="S194">
        <v>2700</v>
      </c>
      <c r="T194">
        <v>1800</v>
      </c>
      <c r="U194">
        <v>900</v>
      </c>
      <c r="V194">
        <v>0.33333333333333298</v>
      </c>
      <c r="W194" t="s">
        <v>210</v>
      </c>
    </row>
    <row r="195" spans="1:23">
      <c r="A195">
        <v>10057</v>
      </c>
      <c r="B195">
        <v>45357</v>
      </c>
      <c r="C195">
        <v>45357</v>
      </c>
      <c r="D195" t="s">
        <v>74</v>
      </c>
      <c r="E195" t="s">
        <v>74</v>
      </c>
      <c r="F195" t="s">
        <v>81</v>
      </c>
      <c r="G195" t="s">
        <v>81</v>
      </c>
      <c r="H195" t="s">
        <v>65</v>
      </c>
      <c r="I195" t="s">
        <v>73</v>
      </c>
      <c r="J195" t="s">
        <v>73</v>
      </c>
      <c r="K195">
        <v>1</v>
      </c>
      <c r="L195">
        <v>1</v>
      </c>
      <c r="M195">
        <v>650</v>
      </c>
      <c r="N195">
        <v>650</v>
      </c>
      <c r="P195">
        <v>1</v>
      </c>
      <c r="Q195">
        <v>400</v>
      </c>
      <c r="R195" t="s">
        <v>199</v>
      </c>
      <c r="S195">
        <v>650</v>
      </c>
      <c r="T195">
        <v>400</v>
      </c>
      <c r="U195">
        <v>250</v>
      </c>
      <c r="V195">
        <v>0.38461538461538503</v>
      </c>
      <c r="W195" t="s">
        <v>211</v>
      </c>
    </row>
    <row r="196" spans="1:23">
      <c r="A196">
        <v>10004</v>
      </c>
      <c r="B196" t="s">
        <v>159</v>
      </c>
      <c r="C196">
        <v>45371</v>
      </c>
      <c r="D196" t="s">
        <v>35</v>
      </c>
      <c r="E196" t="s">
        <v>35</v>
      </c>
      <c r="F196" t="s">
        <v>52</v>
      </c>
      <c r="G196" t="s">
        <v>14</v>
      </c>
      <c r="H196" t="s">
        <v>30</v>
      </c>
      <c r="I196" t="s">
        <v>31</v>
      </c>
      <c r="J196" t="s">
        <v>208</v>
      </c>
      <c r="K196">
        <v>2</v>
      </c>
      <c r="L196">
        <v>2</v>
      </c>
      <c r="M196">
        <v>1650</v>
      </c>
      <c r="N196">
        <v>1650</v>
      </c>
      <c r="P196">
        <v>2</v>
      </c>
      <c r="Q196">
        <v>1100</v>
      </c>
      <c r="R196" t="s">
        <v>202</v>
      </c>
      <c r="S196">
        <v>3300</v>
      </c>
      <c r="T196">
        <v>2200</v>
      </c>
      <c r="U196">
        <v>1100</v>
      </c>
      <c r="V196">
        <v>0.33333333333333298</v>
      </c>
      <c r="W196" t="s">
        <v>211</v>
      </c>
    </row>
    <row r="197" spans="1:23">
      <c r="A197">
        <v>10326</v>
      </c>
      <c r="B197" t="s">
        <v>159</v>
      </c>
      <c r="C197">
        <v>45371</v>
      </c>
      <c r="D197" t="s">
        <v>15</v>
      </c>
      <c r="E197" t="s">
        <v>15</v>
      </c>
      <c r="F197" t="s">
        <v>85</v>
      </c>
      <c r="G197" t="s">
        <v>24</v>
      </c>
      <c r="H197" t="s">
        <v>30</v>
      </c>
      <c r="I197" t="s">
        <v>127</v>
      </c>
      <c r="J197" t="s">
        <v>208</v>
      </c>
      <c r="K197">
        <v>2</v>
      </c>
      <c r="L197">
        <v>2</v>
      </c>
      <c r="M197">
        <v>1800</v>
      </c>
      <c r="N197">
        <v>1800</v>
      </c>
      <c r="P197">
        <v>2</v>
      </c>
      <c r="Q197">
        <v>1100</v>
      </c>
      <c r="R197" t="s">
        <v>202</v>
      </c>
      <c r="S197">
        <v>3600</v>
      </c>
      <c r="T197">
        <v>2200</v>
      </c>
      <c r="U197">
        <v>1400</v>
      </c>
      <c r="V197">
        <v>0.38888888888888901</v>
      </c>
      <c r="W197" t="s">
        <v>211</v>
      </c>
    </row>
    <row r="198" spans="1:23">
      <c r="A198">
        <v>10009</v>
      </c>
      <c r="B198">
        <v>45360</v>
      </c>
      <c r="C198">
        <v>45360</v>
      </c>
      <c r="D198" t="s">
        <v>35</v>
      </c>
      <c r="E198" t="s">
        <v>35</v>
      </c>
      <c r="F198" t="s">
        <v>24</v>
      </c>
      <c r="G198" t="s">
        <v>24</v>
      </c>
      <c r="H198" t="s">
        <v>50</v>
      </c>
      <c r="I198" t="s">
        <v>69</v>
      </c>
      <c r="J198" t="s">
        <v>257</v>
      </c>
      <c r="K198">
        <v>5</v>
      </c>
      <c r="L198">
        <v>5</v>
      </c>
      <c r="N198">
        <v>0</v>
      </c>
      <c r="P198">
        <v>5</v>
      </c>
      <c r="Q198">
        <v>900</v>
      </c>
      <c r="R198" t="s">
        <v>200</v>
      </c>
      <c r="S198">
        <v>0</v>
      </c>
      <c r="T198">
        <v>4500</v>
      </c>
      <c r="U198">
        <v>-4500</v>
      </c>
      <c r="V198">
        <v>0</v>
      </c>
      <c r="W198" t="s">
        <v>211</v>
      </c>
    </row>
    <row r="199" spans="1:23">
      <c r="A199">
        <v>10058</v>
      </c>
      <c r="B199">
        <v>45307</v>
      </c>
      <c r="C199">
        <v>45307</v>
      </c>
      <c r="D199" t="s">
        <v>74</v>
      </c>
      <c r="E199" t="s">
        <v>74</v>
      </c>
      <c r="F199" t="s">
        <v>14</v>
      </c>
      <c r="G199" t="s">
        <v>14</v>
      </c>
      <c r="H199" t="s">
        <v>30</v>
      </c>
      <c r="I199" t="s">
        <v>31</v>
      </c>
      <c r="J199" t="s">
        <v>208</v>
      </c>
      <c r="K199">
        <v>3</v>
      </c>
      <c r="L199">
        <v>3</v>
      </c>
      <c r="M199">
        <v>1700</v>
      </c>
      <c r="N199">
        <v>1700</v>
      </c>
      <c r="P199">
        <v>3</v>
      </c>
      <c r="Q199">
        <v>1100</v>
      </c>
      <c r="R199" t="s">
        <v>202</v>
      </c>
      <c r="S199">
        <v>5100</v>
      </c>
      <c r="T199">
        <v>3300</v>
      </c>
      <c r="U199">
        <v>1800</v>
      </c>
      <c r="V199">
        <v>0.35294117647058798</v>
      </c>
      <c r="W199" t="s">
        <v>209</v>
      </c>
    </row>
    <row r="200" spans="1:23">
      <c r="A200">
        <v>10050</v>
      </c>
      <c r="B200">
        <v>45311</v>
      </c>
      <c r="C200">
        <v>45311</v>
      </c>
      <c r="D200" t="s">
        <v>19</v>
      </c>
      <c r="E200" t="s">
        <v>19</v>
      </c>
      <c r="F200" t="s">
        <v>114</v>
      </c>
      <c r="G200" t="s">
        <v>46</v>
      </c>
      <c r="H200" t="s">
        <v>50</v>
      </c>
      <c r="I200" t="s">
        <v>89</v>
      </c>
      <c r="J200" t="s">
        <v>257</v>
      </c>
      <c r="K200">
        <v>4</v>
      </c>
      <c r="L200">
        <v>4</v>
      </c>
      <c r="M200">
        <v>1400</v>
      </c>
      <c r="N200">
        <v>1400</v>
      </c>
      <c r="P200">
        <v>4</v>
      </c>
      <c r="Q200">
        <v>900</v>
      </c>
      <c r="R200" t="s">
        <v>200</v>
      </c>
      <c r="S200">
        <v>5600</v>
      </c>
      <c r="T200">
        <v>3600</v>
      </c>
      <c r="U200">
        <v>2000</v>
      </c>
      <c r="V200">
        <v>0.35714285714285698</v>
      </c>
      <c r="W200" t="s">
        <v>209</v>
      </c>
    </row>
    <row r="201" spans="1:23">
      <c r="A201">
        <v>10042</v>
      </c>
      <c r="B201" t="s">
        <v>107</v>
      </c>
      <c r="C201">
        <v>45305</v>
      </c>
      <c r="D201" t="s">
        <v>29</v>
      </c>
      <c r="E201" t="s">
        <v>40</v>
      </c>
      <c r="F201" t="s">
        <v>136</v>
      </c>
      <c r="G201" t="s">
        <v>46</v>
      </c>
      <c r="H201" t="s">
        <v>55</v>
      </c>
      <c r="I201" t="s">
        <v>160</v>
      </c>
      <c r="J201" t="s">
        <v>256</v>
      </c>
      <c r="K201">
        <v>20</v>
      </c>
      <c r="L201">
        <v>20</v>
      </c>
      <c r="M201">
        <v>880</v>
      </c>
      <c r="N201">
        <v>880</v>
      </c>
      <c r="P201">
        <v>20</v>
      </c>
      <c r="Q201">
        <v>480</v>
      </c>
      <c r="R201" t="s">
        <v>200</v>
      </c>
      <c r="S201">
        <v>17600</v>
      </c>
      <c r="T201">
        <v>9600</v>
      </c>
      <c r="U201">
        <v>8000</v>
      </c>
      <c r="V201">
        <v>0.45454545454545497</v>
      </c>
      <c r="W201" t="s">
        <v>209</v>
      </c>
    </row>
    <row r="202" spans="1:23">
      <c r="A202">
        <v>10036</v>
      </c>
      <c r="B202">
        <v>45366</v>
      </c>
      <c r="C202">
        <v>45366</v>
      </c>
      <c r="D202" t="s">
        <v>101</v>
      </c>
      <c r="E202" t="s">
        <v>40</v>
      </c>
      <c r="F202" t="s">
        <v>62</v>
      </c>
      <c r="G202" t="s">
        <v>62</v>
      </c>
      <c r="H202" t="s">
        <v>55</v>
      </c>
      <c r="I202" t="s">
        <v>56</v>
      </c>
      <c r="J202" t="s">
        <v>256</v>
      </c>
      <c r="K202">
        <v>15</v>
      </c>
      <c r="L202">
        <v>15</v>
      </c>
      <c r="M202">
        <v>830</v>
      </c>
      <c r="N202">
        <v>830</v>
      </c>
      <c r="P202">
        <v>15</v>
      </c>
      <c r="Q202">
        <v>480</v>
      </c>
      <c r="R202" t="s">
        <v>200</v>
      </c>
      <c r="S202">
        <v>12450</v>
      </c>
      <c r="T202">
        <v>7200</v>
      </c>
      <c r="U202">
        <v>5250</v>
      </c>
      <c r="V202">
        <v>0.421686746987952</v>
      </c>
      <c r="W202" t="s">
        <v>211</v>
      </c>
    </row>
    <row r="203" spans="1:23">
      <c r="A203">
        <v>10122</v>
      </c>
      <c r="B203">
        <v>45342</v>
      </c>
      <c r="C203">
        <v>45342</v>
      </c>
      <c r="D203" t="s">
        <v>19</v>
      </c>
      <c r="E203" t="s">
        <v>19</v>
      </c>
      <c r="F203" t="s">
        <v>81</v>
      </c>
      <c r="G203" t="s">
        <v>81</v>
      </c>
      <c r="H203" t="s">
        <v>77</v>
      </c>
      <c r="I203" t="s">
        <v>78</v>
      </c>
      <c r="J203" t="s">
        <v>207</v>
      </c>
      <c r="K203">
        <v>4</v>
      </c>
      <c r="L203">
        <v>4</v>
      </c>
      <c r="M203">
        <v>1950</v>
      </c>
      <c r="N203">
        <v>1950</v>
      </c>
      <c r="P203">
        <v>4</v>
      </c>
      <c r="Q203">
        <v>1200</v>
      </c>
      <c r="R203" t="s">
        <v>201</v>
      </c>
      <c r="S203">
        <v>7800</v>
      </c>
      <c r="T203">
        <v>4800</v>
      </c>
      <c r="U203">
        <v>3000</v>
      </c>
      <c r="V203">
        <v>0.38461538461538503</v>
      </c>
      <c r="W203" t="s">
        <v>210</v>
      </c>
    </row>
    <row r="204" spans="1:23">
      <c r="A204">
        <v>10126</v>
      </c>
      <c r="B204">
        <v>45446</v>
      </c>
      <c r="C204">
        <v>45446</v>
      </c>
      <c r="D204" t="s">
        <v>59</v>
      </c>
      <c r="E204" t="s">
        <v>19</v>
      </c>
      <c r="F204" t="s">
        <v>81</v>
      </c>
      <c r="G204" t="s">
        <v>81</v>
      </c>
      <c r="H204" t="s">
        <v>30</v>
      </c>
      <c r="I204" t="s">
        <v>140</v>
      </c>
      <c r="J204" t="s">
        <v>208</v>
      </c>
      <c r="K204">
        <v>15</v>
      </c>
      <c r="L204">
        <v>15</v>
      </c>
      <c r="N204">
        <v>0</v>
      </c>
      <c r="P204">
        <v>15</v>
      </c>
      <c r="Q204">
        <v>1100</v>
      </c>
      <c r="R204" t="s">
        <v>202</v>
      </c>
      <c r="S204">
        <v>0</v>
      </c>
      <c r="T204">
        <v>16500</v>
      </c>
      <c r="U204">
        <v>-16500</v>
      </c>
      <c r="V204">
        <v>0</v>
      </c>
      <c r="W204" t="s">
        <v>214</v>
      </c>
    </row>
    <row r="205" spans="1:23">
      <c r="A205">
        <v>10100</v>
      </c>
      <c r="B205">
        <v>45340</v>
      </c>
      <c r="C205">
        <v>45340</v>
      </c>
      <c r="D205" t="s">
        <v>19</v>
      </c>
      <c r="E205" t="s">
        <v>19</v>
      </c>
      <c r="F205" t="s">
        <v>49</v>
      </c>
      <c r="G205" t="s">
        <v>48</v>
      </c>
      <c r="H205" t="s">
        <v>53</v>
      </c>
      <c r="I205" t="s">
        <v>72</v>
      </c>
      <c r="J205" t="s">
        <v>255</v>
      </c>
      <c r="K205">
        <v>4</v>
      </c>
      <c r="L205">
        <v>4</v>
      </c>
      <c r="M205">
        <v>1050</v>
      </c>
      <c r="N205">
        <v>1050</v>
      </c>
      <c r="P205">
        <v>4</v>
      </c>
      <c r="Q205">
        <v>600</v>
      </c>
      <c r="R205" t="s">
        <v>200</v>
      </c>
      <c r="S205">
        <v>4200</v>
      </c>
      <c r="T205">
        <v>2400</v>
      </c>
      <c r="U205">
        <v>1800</v>
      </c>
      <c r="V205">
        <v>0.42857142857142899</v>
      </c>
      <c r="W205" t="s">
        <v>210</v>
      </c>
    </row>
    <row r="206" spans="1:23">
      <c r="A206">
        <v>10241</v>
      </c>
      <c r="B206">
        <v>45359</v>
      </c>
      <c r="C206">
        <v>45359</v>
      </c>
      <c r="D206" t="s">
        <v>106</v>
      </c>
      <c r="E206" t="s">
        <v>15</v>
      </c>
      <c r="F206" t="s">
        <v>62</v>
      </c>
      <c r="G206" t="s">
        <v>62</v>
      </c>
      <c r="H206" t="s">
        <v>33</v>
      </c>
      <c r="I206" t="s">
        <v>60</v>
      </c>
      <c r="J206" t="s">
        <v>251</v>
      </c>
      <c r="K206">
        <v>1</v>
      </c>
      <c r="L206">
        <v>1</v>
      </c>
      <c r="M206">
        <v>700</v>
      </c>
      <c r="N206">
        <v>700</v>
      </c>
      <c r="P206">
        <v>1</v>
      </c>
      <c r="Q206">
        <v>450</v>
      </c>
      <c r="R206" t="s">
        <v>202</v>
      </c>
      <c r="S206">
        <v>700</v>
      </c>
      <c r="T206">
        <v>450</v>
      </c>
      <c r="U206">
        <v>250</v>
      </c>
      <c r="V206">
        <v>0.35714285714285698</v>
      </c>
      <c r="W206" t="s">
        <v>211</v>
      </c>
    </row>
    <row r="207" spans="1:23">
      <c r="A207">
        <v>10322</v>
      </c>
      <c r="B207">
        <v>45327</v>
      </c>
      <c r="C207">
        <v>45327</v>
      </c>
      <c r="D207" t="s">
        <v>19</v>
      </c>
      <c r="E207" t="s">
        <v>19</v>
      </c>
      <c r="F207" t="s">
        <v>16</v>
      </c>
      <c r="G207" t="s">
        <v>16</v>
      </c>
      <c r="H207" t="s">
        <v>65</v>
      </c>
      <c r="I207" t="s">
        <v>73</v>
      </c>
      <c r="J207" t="s">
        <v>73</v>
      </c>
      <c r="K207">
        <v>4</v>
      </c>
      <c r="L207">
        <v>4</v>
      </c>
      <c r="M207">
        <v>600</v>
      </c>
      <c r="N207">
        <v>600</v>
      </c>
      <c r="P207">
        <v>4</v>
      </c>
      <c r="Q207">
        <v>400</v>
      </c>
      <c r="R207" t="s">
        <v>199</v>
      </c>
      <c r="S207">
        <v>2400</v>
      </c>
      <c r="T207">
        <v>1600</v>
      </c>
      <c r="U207">
        <v>800</v>
      </c>
      <c r="V207">
        <v>0.33333333333333298</v>
      </c>
      <c r="W207" t="s">
        <v>210</v>
      </c>
    </row>
    <row r="208" spans="1:23">
      <c r="A208">
        <v>10167</v>
      </c>
      <c r="B208">
        <v>45348</v>
      </c>
      <c r="C208">
        <v>45348</v>
      </c>
      <c r="D208" t="s">
        <v>95</v>
      </c>
      <c r="E208" t="s">
        <v>35</v>
      </c>
      <c r="F208" t="s">
        <v>139</v>
      </c>
      <c r="G208" t="s">
        <v>16</v>
      </c>
      <c r="H208" t="s">
        <v>55</v>
      </c>
      <c r="I208" t="s">
        <v>56</v>
      </c>
      <c r="J208" t="s">
        <v>256</v>
      </c>
      <c r="K208">
        <v>8</v>
      </c>
      <c r="L208">
        <v>8</v>
      </c>
      <c r="M208">
        <v>830</v>
      </c>
      <c r="N208">
        <v>830</v>
      </c>
      <c r="P208">
        <v>8</v>
      </c>
      <c r="Q208">
        <v>480</v>
      </c>
      <c r="R208" t="s">
        <v>200</v>
      </c>
      <c r="S208">
        <v>6640</v>
      </c>
      <c r="T208">
        <v>3840</v>
      </c>
      <c r="U208">
        <v>2800</v>
      </c>
      <c r="V208">
        <v>0.421686746987952</v>
      </c>
      <c r="W208" t="s">
        <v>210</v>
      </c>
    </row>
    <row r="209" spans="1:23">
      <c r="A209">
        <v>10183</v>
      </c>
      <c r="B209">
        <v>45366</v>
      </c>
      <c r="C209">
        <v>45366</v>
      </c>
      <c r="D209" t="s">
        <v>74</v>
      </c>
      <c r="E209" t="s">
        <v>74</v>
      </c>
      <c r="F209" t="s">
        <v>16</v>
      </c>
      <c r="G209" t="s">
        <v>16</v>
      </c>
      <c r="H209" t="s">
        <v>30</v>
      </c>
      <c r="I209" t="s">
        <v>31</v>
      </c>
      <c r="J209" t="s">
        <v>208</v>
      </c>
      <c r="K209">
        <v>10</v>
      </c>
      <c r="L209">
        <v>10</v>
      </c>
      <c r="M209">
        <v>1700</v>
      </c>
      <c r="N209">
        <v>1700</v>
      </c>
      <c r="P209">
        <v>10</v>
      </c>
      <c r="Q209">
        <v>1100</v>
      </c>
      <c r="R209" t="s">
        <v>202</v>
      </c>
      <c r="S209">
        <v>17000</v>
      </c>
      <c r="T209">
        <v>11000</v>
      </c>
      <c r="U209">
        <v>6000</v>
      </c>
      <c r="V209">
        <v>0.35294117647058798</v>
      </c>
      <c r="W209" t="s">
        <v>211</v>
      </c>
    </row>
    <row r="210" spans="1:23">
      <c r="A210">
        <v>10303</v>
      </c>
      <c r="B210">
        <v>45376</v>
      </c>
      <c r="C210">
        <v>45376</v>
      </c>
      <c r="D210" t="s">
        <v>41</v>
      </c>
      <c r="E210" t="s">
        <v>41</v>
      </c>
      <c r="F210" t="s">
        <v>62</v>
      </c>
      <c r="G210" t="s">
        <v>62</v>
      </c>
      <c r="H210" t="s">
        <v>10</v>
      </c>
      <c r="I210" t="s">
        <v>11</v>
      </c>
      <c r="J210" t="s">
        <v>11</v>
      </c>
      <c r="K210">
        <v>12</v>
      </c>
      <c r="L210">
        <v>12</v>
      </c>
      <c r="M210">
        <v>1250</v>
      </c>
      <c r="N210">
        <v>1250</v>
      </c>
      <c r="P210">
        <v>12</v>
      </c>
      <c r="Q210">
        <v>800</v>
      </c>
      <c r="R210" t="s">
        <v>201</v>
      </c>
      <c r="S210">
        <v>15000</v>
      </c>
      <c r="T210">
        <v>9600</v>
      </c>
      <c r="U210">
        <v>5400</v>
      </c>
      <c r="V210">
        <v>0.36</v>
      </c>
      <c r="W210" t="s">
        <v>211</v>
      </c>
    </row>
    <row r="211" spans="1:23">
      <c r="A211">
        <v>10304</v>
      </c>
      <c r="B211">
        <v>45357</v>
      </c>
      <c r="C211">
        <v>45357</v>
      </c>
      <c r="D211" t="s">
        <v>35</v>
      </c>
      <c r="E211" t="s">
        <v>35</v>
      </c>
      <c r="F211" t="s">
        <v>135</v>
      </c>
      <c r="G211" t="s">
        <v>48</v>
      </c>
      <c r="H211" t="s">
        <v>77</v>
      </c>
      <c r="I211" t="s">
        <v>78</v>
      </c>
      <c r="J211" t="s">
        <v>207</v>
      </c>
      <c r="K211">
        <v>15</v>
      </c>
      <c r="L211">
        <v>15</v>
      </c>
      <c r="M211">
        <v>1850</v>
      </c>
      <c r="N211">
        <v>1850</v>
      </c>
      <c r="P211">
        <v>15</v>
      </c>
      <c r="Q211">
        <v>1200</v>
      </c>
      <c r="R211" t="s">
        <v>201</v>
      </c>
      <c r="S211">
        <v>27750</v>
      </c>
      <c r="T211">
        <v>18000</v>
      </c>
      <c r="U211">
        <v>9750</v>
      </c>
      <c r="V211">
        <v>0.35135135135135098</v>
      </c>
      <c r="W211" t="s">
        <v>211</v>
      </c>
    </row>
    <row r="212" spans="1:23">
      <c r="A212">
        <v>10217</v>
      </c>
      <c r="B212">
        <v>45300</v>
      </c>
      <c r="C212">
        <v>45300</v>
      </c>
      <c r="D212" t="s">
        <v>95</v>
      </c>
      <c r="E212" t="s">
        <v>35</v>
      </c>
      <c r="F212" t="s">
        <v>136</v>
      </c>
      <c r="G212" t="s">
        <v>46</v>
      </c>
      <c r="H212" t="s">
        <v>10</v>
      </c>
      <c r="I212" t="s">
        <v>11</v>
      </c>
      <c r="J212" t="s">
        <v>11</v>
      </c>
      <c r="K212">
        <v>2</v>
      </c>
      <c r="L212">
        <v>2</v>
      </c>
      <c r="M212">
        <v>1250</v>
      </c>
      <c r="N212">
        <v>1250</v>
      </c>
      <c r="P212">
        <v>2</v>
      </c>
      <c r="Q212">
        <v>800</v>
      </c>
      <c r="R212" t="s">
        <v>201</v>
      </c>
      <c r="S212">
        <v>2500</v>
      </c>
      <c r="T212">
        <v>1600</v>
      </c>
      <c r="U212">
        <v>900</v>
      </c>
      <c r="V212">
        <v>0.36</v>
      </c>
      <c r="W212" t="s">
        <v>209</v>
      </c>
    </row>
    <row r="213" spans="1:23">
      <c r="A213">
        <v>10129</v>
      </c>
      <c r="B213" t="s">
        <v>87</v>
      </c>
      <c r="C213">
        <v>45309</v>
      </c>
      <c r="D213" t="s">
        <v>19</v>
      </c>
      <c r="E213" t="s">
        <v>19</v>
      </c>
      <c r="F213" t="s">
        <v>42</v>
      </c>
      <c r="G213" t="s">
        <v>14</v>
      </c>
      <c r="H213" t="s">
        <v>111</v>
      </c>
      <c r="I213" t="s">
        <v>112</v>
      </c>
      <c r="J213" t="s">
        <v>112</v>
      </c>
      <c r="K213">
        <v>6</v>
      </c>
      <c r="L213">
        <v>6</v>
      </c>
      <c r="M213">
        <v>950</v>
      </c>
      <c r="N213">
        <v>950</v>
      </c>
      <c r="P213">
        <v>6</v>
      </c>
      <c r="Q213">
        <v>550</v>
      </c>
      <c r="R213" t="s">
        <v>201</v>
      </c>
      <c r="S213">
        <v>5700</v>
      </c>
      <c r="T213">
        <v>3300</v>
      </c>
      <c r="U213">
        <v>2400</v>
      </c>
      <c r="V213">
        <v>0.42105263157894701</v>
      </c>
      <c r="W213" t="s">
        <v>209</v>
      </c>
    </row>
    <row r="214" spans="1:23">
      <c r="A214">
        <v>10265</v>
      </c>
      <c r="B214">
        <v>45348</v>
      </c>
      <c r="C214">
        <v>45348</v>
      </c>
      <c r="D214" t="s">
        <v>47</v>
      </c>
      <c r="E214" t="s">
        <v>15</v>
      </c>
      <c r="F214" t="s">
        <v>24</v>
      </c>
      <c r="G214" t="s">
        <v>24</v>
      </c>
      <c r="H214" t="s">
        <v>10</v>
      </c>
      <c r="I214" t="s">
        <v>11</v>
      </c>
      <c r="J214" t="s">
        <v>11</v>
      </c>
      <c r="K214">
        <v>15</v>
      </c>
      <c r="L214">
        <v>15</v>
      </c>
      <c r="M214">
        <v>1400</v>
      </c>
      <c r="N214">
        <v>1400</v>
      </c>
      <c r="P214">
        <v>15</v>
      </c>
      <c r="Q214">
        <v>800</v>
      </c>
      <c r="R214" t="s">
        <v>201</v>
      </c>
      <c r="S214">
        <v>21000</v>
      </c>
      <c r="T214">
        <v>12000</v>
      </c>
      <c r="U214">
        <v>9000</v>
      </c>
      <c r="V214">
        <v>0.42857142857142899</v>
      </c>
      <c r="W214" t="s">
        <v>210</v>
      </c>
    </row>
    <row r="215" spans="1:23">
      <c r="A215">
        <v>10123</v>
      </c>
      <c r="B215">
        <v>45325</v>
      </c>
      <c r="C215">
        <v>45325</v>
      </c>
      <c r="D215" t="s">
        <v>45</v>
      </c>
      <c r="E215" t="s">
        <v>40</v>
      </c>
      <c r="F215" t="s">
        <v>24</v>
      </c>
      <c r="G215" t="s">
        <v>24</v>
      </c>
      <c r="H215" t="s">
        <v>10</v>
      </c>
      <c r="I215" t="s">
        <v>11</v>
      </c>
      <c r="J215" t="s">
        <v>11</v>
      </c>
      <c r="K215">
        <v>8</v>
      </c>
      <c r="L215">
        <v>8</v>
      </c>
      <c r="M215">
        <v>1300</v>
      </c>
      <c r="N215">
        <v>1300</v>
      </c>
      <c r="P215">
        <v>8</v>
      </c>
      <c r="Q215">
        <v>800</v>
      </c>
      <c r="R215" t="s">
        <v>201</v>
      </c>
      <c r="S215">
        <v>10400</v>
      </c>
      <c r="T215">
        <v>6400</v>
      </c>
      <c r="U215">
        <v>4000</v>
      </c>
      <c r="V215">
        <v>0.38461538461538503</v>
      </c>
      <c r="W215" t="s">
        <v>210</v>
      </c>
    </row>
    <row r="216" spans="1:23">
      <c r="A216">
        <v>10245</v>
      </c>
      <c r="B216">
        <v>45309</v>
      </c>
      <c r="C216">
        <v>45309</v>
      </c>
      <c r="D216" t="s">
        <v>41</v>
      </c>
      <c r="E216" t="s">
        <v>41</v>
      </c>
      <c r="F216" t="s">
        <v>16</v>
      </c>
      <c r="G216" t="s">
        <v>16</v>
      </c>
      <c r="H216" t="s">
        <v>111</v>
      </c>
      <c r="I216" t="s">
        <v>112</v>
      </c>
      <c r="J216" t="s">
        <v>112</v>
      </c>
      <c r="K216">
        <v>15</v>
      </c>
      <c r="L216">
        <v>15</v>
      </c>
      <c r="M216">
        <v>850</v>
      </c>
      <c r="N216">
        <v>850</v>
      </c>
      <c r="P216">
        <v>15</v>
      </c>
      <c r="Q216">
        <v>550</v>
      </c>
      <c r="R216" t="s">
        <v>201</v>
      </c>
      <c r="S216">
        <v>12750</v>
      </c>
      <c r="T216">
        <v>8250</v>
      </c>
      <c r="U216">
        <v>4500</v>
      </c>
      <c r="V216">
        <v>0.35294117647058798</v>
      </c>
      <c r="W216" t="s">
        <v>209</v>
      </c>
    </row>
    <row r="217" spans="1:23">
      <c r="A217">
        <v>10177</v>
      </c>
      <c r="B217">
        <v>45363</v>
      </c>
      <c r="C217">
        <v>45363</v>
      </c>
      <c r="D217" t="s">
        <v>19</v>
      </c>
      <c r="E217" t="s">
        <v>19</v>
      </c>
      <c r="F217" t="s">
        <v>81</v>
      </c>
      <c r="G217" t="s">
        <v>81</v>
      </c>
      <c r="H217" t="s">
        <v>65</v>
      </c>
      <c r="I217" t="s">
        <v>73</v>
      </c>
      <c r="J217" t="s">
        <v>73</v>
      </c>
      <c r="K217">
        <v>20</v>
      </c>
      <c r="L217">
        <v>20</v>
      </c>
      <c r="M217">
        <v>700</v>
      </c>
      <c r="N217">
        <v>700</v>
      </c>
      <c r="P217">
        <v>20</v>
      </c>
      <c r="Q217">
        <v>400</v>
      </c>
      <c r="R217" t="s">
        <v>199</v>
      </c>
      <c r="S217">
        <v>14000</v>
      </c>
      <c r="T217">
        <v>8000</v>
      </c>
      <c r="U217">
        <v>6000</v>
      </c>
      <c r="V217">
        <v>0.42857142857142899</v>
      </c>
      <c r="W217" t="s">
        <v>211</v>
      </c>
    </row>
    <row r="218" spans="1:23">
      <c r="A218">
        <v>10316</v>
      </c>
      <c r="B218">
        <v>45353</v>
      </c>
      <c r="C218">
        <v>45353</v>
      </c>
      <c r="D218" t="s">
        <v>162</v>
      </c>
      <c r="E218" t="s">
        <v>35</v>
      </c>
      <c r="F218" t="s">
        <v>133</v>
      </c>
      <c r="G218" t="s">
        <v>62</v>
      </c>
      <c r="H218" t="s">
        <v>10</v>
      </c>
      <c r="I218" t="s">
        <v>147</v>
      </c>
      <c r="J218" t="s">
        <v>11</v>
      </c>
      <c r="K218">
        <v>8</v>
      </c>
      <c r="L218">
        <v>8</v>
      </c>
      <c r="M218">
        <v>1300</v>
      </c>
      <c r="N218">
        <v>1300</v>
      </c>
      <c r="P218">
        <v>8</v>
      </c>
      <c r="Q218">
        <v>800</v>
      </c>
      <c r="R218" t="s">
        <v>201</v>
      </c>
      <c r="S218">
        <v>10400</v>
      </c>
      <c r="T218">
        <v>6400</v>
      </c>
      <c r="U218">
        <v>4000</v>
      </c>
      <c r="V218">
        <v>0.38461538461538503</v>
      </c>
      <c r="W218" t="s">
        <v>211</v>
      </c>
    </row>
    <row r="219" spans="1:23">
      <c r="A219">
        <v>10092</v>
      </c>
      <c r="B219">
        <v>45364</v>
      </c>
      <c r="C219">
        <v>45364</v>
      </c>
      <c r="D219" t="s">
        <v>45</v>
      </c>
      <c r="E219" t="s">
        <v>40</v>
      </c>
      <c r="F219" t="s">
        <v>24</v>
      </c>
      <c r="G219" t="s">
        <v>24</v>
      </c>
      <c r="H219" t="s">
        <v>55</v>
      </c>
      <c r="I219" t="s">
        <v>163</v>
      </c>
      <c r="J219" t="s">
        <v>256</v>
      </c>
      <c r="K219">
        <v>20</v>
      </c>
      <c r="L219">
        <v>20</v>
      </c>
      <c r="M219">
        <v>780</v>
      </c>
      <c r="N219">
        <v>780</v>
      </c>
      <c r="P219">
        <v>20</v>
      </c>
      <c r="Q219">
        <v>480</v>
      </c>
      <c r="R219" t="s">
        <v>200</v>
      </c>
      <c r="S219">
        <v>15600</v>
      </c>
      <c r="T219">
        <v>9600</v>
      </c>
      <c r="U219">
        <v>6000</v>
      </c>
      <c r="V219">
        <v>0.38461538461538503</v>
      </c>
      <c r="W219" t="s">
        <v>211</v>
      </c>
    </row>
    <row r="220" spans="1:23">
      <c r="A220">
        <v>10253</v>
      </c>
      <c r="B220">
        <v>45313</v>
      </c>
      <c r="C220">
        <v>45313</v>
      </c>
      <c r="D220" t="s">
        <v>74</v>
      </c>
      <c r="E220" t="s">
        <v>74</v>
      </c>
      <c r="F220" t="s">
        <v>80</v>
      </c>
      <c r="G220" t="s">
        <v>81</v>
      </c>
      <c r="H220" t="s">
        <v>25</v>
      </c>
      <c r="I220" t="s">
        <v>75</v>
      </c>
      <c r="J220" t="s">
        <v>26</v>
      </c>
      <c r="K220">
        <v>4</v>
      </c>
      <c r="L220">
        <v>4</v>
      </c>
      <c r="M220">
        <v>420</v>
      </c>
      <c r="N220">
        <v>420</v>
      </c>
      <c r="P220">
        <v>4</v>
      </c>
      <c r="Q220">
        <v>250</v>
      </c>
      <c r="R220" t="s">
        <v>199</v>
      </c>
      <c r="S220">
        <v>1680</v>
      </c>
      <c r="T220">
        <v>1000</v>
      </c>
      <c r="U220">
        <v>680</v>
      </c>
      <c r="V220">
        <v>0.40476190476190499</v>
      </c>
      <c r="W220" t="s">
        <v>209</v>
      </c>
    </row>
    <row r="221" spans="1:23">
      <c r="A221">
        <v>10279</v>
      </c>
      <c r="B221">
        <v>45338</v>
      </c>
      <c r="C221">
        <v>45338</v>
      </c>
      <c r="D221" t="s">
        <v>15</v>
      </c>
      <c r="E221" t="s">
        <v>15</v>
      </c>
      <c r="F221" t="s">
        <v>24</v>
      </c>
      <c r="G221" t="s">
        <v>24</v>
      </c>
      <c r="H221" t="s">
        <v>21</v>
      </c>
      <c r="I221" t="s">
        <v>22</v>
      </c>
      <c r="J221" t="s">
        <v>22</v>
      </c>
      <c r="K221">
        <v>10</v>
      </c>
      <c r="L221">
        <v>10</v>
      </c>
      <c r="M221">
        <v>2350</v>
      </c>
      <c r="N221">
        <v>2350</v>
      </c>
      <c r="P221">
        <v>10</v>
      </c>
      <c r="Q221">
        <v>1500</v>
      </c>
      <c r="R221" t="s">
        <v>199</v>
      </c>
      <c r="S221">
        <v>23500</v>
      </c>
      <c r="T221">
        <v>15000</v>
      </c>
      <c r="U221">
        <v>8500</v>
      </c>
      <c r="V221">
        <v>0.36170212765957399</v>
      </c>
      <c r="W221" t="s">
        <v>210</v>
      </c>
    </row>
    <row r="222" spans="1:23">
      <c r="A222">
        <v>10232</v>
      </c>
      <c r="B222" t="s">
        <v>164</v>
      </c>
      <c r="C222">
        <v>45374</v>
      </c>
      <c r="D222" t="s">
        <v>15</v>
      </c>
      <c r="E222" t="s">
        <v>15</v>
      </c>
      <c r="F222" t="s">
        <v>43</v>
      </c>
      <c r="G222" t="s">
        <v>14</v>
      </c>
      <c r="H222" t="s">
        <v>93</v>
      </c>
      <c r="I222" t="s">
        <v>141</v>
      </c>
      <c r="J222" t="s">
        <v>258</v>
      </c>
      <c r="K222">
        <v>20</v>
      </c>
      <c r="L222">
        <v>20</v>
      </c>
      <c r="M222">
        <v>1150</v>
      </c>
      <c r="N222">
        <v>1150</v>
      </c>
      <c r="P222">
        <v>20</v>
      </c>
      <c r="Q222">
        <v>700</v>
      </c>
      <c r="R222" t="s">
        <v>201</v>
      </c>
      <c r="S222">
        <v>23000</v>
      </c>
      <c r="T222">
        <v>14000</v>
      </c>
      <c r="U222">
        <v>9000</v>
      </c>
      <c r="V222">
        <v>0.39130434782608697</v>
      </c>
      <c r="W222" t="s">
        <v>211</v>
      </c>
    </row>
    <row r="223" spans="1:23">
      <c r="A223">
        <v>10153</v>
      </c>
      <c r="B223">
        <v>45361</v>
      </c>
      <c r="C223">
        <v>45361</v>
      </c>
      <c r="D223" t="s">
        <v>40</v>
      </c>
      <c r="E223" t="s">
        <v>40</v>
      </c>
      <c r="F223" t="s">
        <v>62</v>
      </c>
      <c r="G223" t="s">
        <v>62</v>
      </c>
      <c r="H223" t="s">
        <v>111</v>
      </c>
      <c r="I223" t="s">
        <v>112</v>
      </c>
      <c r="J223" t="s">
        <v>112</v>
      </c>
      <c r="K223">
        <v>1</v>
      </c>
      <c r="L223">
        <v>1</v>
      </c>
      <c r="M223">
        <v>850</v>
      </c>
      <c r="N223">
        <v>850</v>
      </c>
      <c r="P223">
        <v>1</v>
      </c>
      <c r="Q223">
        <v>550</v>
      </c>
      <c r="R223" t="s">
        <v>201</v>
      </c>
      <c r="S223">
        <v>850</v>
      </c>
      <c r="T223">
        <v>550</v>
      </c>
      <c r="U223">
        <v>300</v>
      </c>
      <c r="V223">
        <v>0.35294117647058798</v>
      </c>
      <c r="W223" t="s">
        <v>211</v>
      </c>
    </row>
    <row r="224" spans="1:23">
      <c r="A224">
        <v>10060</v>
      </c>
      <c r="B224">
        <v>45345</v>
      </c>
      <c r="C224">
        <v>45345</v>
      </c>
      <c r="D224" t="s">
        <v>35</v>
      </c>
      <c r="E224" t="s">
        <v>35</v>
      </c>
      <c r="F224" t="s">
        <v>46</v>
      </c>
      <c r="G224" t="s">
        <v>46</v>
      </c>
      <c r="H224" t="s">
        <v>55</v>
      </c>
      <c r="I224" t="s">
        <v>56</v>
      </c>
      <c r="J224" t="s">
        <v>256</v>
      </c>
      <c r="K224">
        <v>1</v>
      </c>
      <c r="L224">
        <v>1</v>
      </c>
      <c r="M224">
        <v>780</v>
      </c>
      <c r="N224">
        <v>780</v>
      </c>
      <c r="P224">
        <v>1</v>
      </c>
      <c r="Q224">
        <v>480</v>
      </c>
      <c r="R224" t="s">
        <v>200</v>
      </c>
      <c r="S224">
        <v>780</v>
      </c>
      <c r="T224">
        <v>480</v>
      </c>
      <c r="U224">
        <v>300</v>
      </c>
      <c r="V224">
        <v>0.38461538461538503</v>
      </c>
      <c r="W224" t="s">
        <v>210</v>
      </c>
    </row>
    <row r="225" spans="1:23">
      <c r="A225">
        <v>10238</v>
      </c>
      <c r="B225">
        <v>45307</v>
      </c>
      <c r="C225">
        <v>45307</v>
      </c>
      <c r="D225" t="s">
        <v>41</v>
      </c>
      <c r="E225" t="s">
        <v>41</v>
      </c>
      <c r="F225" t="s">
        <v>149</v>
      </c>
      <c r="G225" t="s">
        <v>62</v>
      </c>
      <c r="H225" t="s">
        <v>55</v>
      </c>
      <c r="I225" t="s">
        <v>56</v>
      </c>
      <c r="J225" t="s">
        <v>256</v>
      </c>
      <c r="K225">
        <v>20</v>
      </c>
      <c r="L225">
        <v>20</v>
      </c>
      <c r="M225">
        <v>880</v>
      </c>
      <c r="N225">
        <v>880</v>
      </c>
      <c r="P225">
        <v>20</v>
      </c>
      <c r="Q225">
        <v>480</v>
      </c>
      <c r="R225" t="s">
        <v>200</v>
      </c>
      <c r="S225">
        <v>17600</v>
      </c>
      <c r="T225">
        <v>9600</v>
      </c>
      <c r="U225">
        <v>8000</v>
      </c>
      <c r="V225">
        <v>0.45454545454545497</v>
      </c>
      <c r="W225" t="s">
        <v>209</v>
      </c>
    </row>
    <row r="226" spans="1:23">
      <c r="A226">
        <v>10256</v>
      </c>
      <c r="B226">
        <v>45349</v>
      </c>
      <c r="C226">
        <v>45349</v>
      </c>
      <c r="D226" t="s">
        <v>74</v>
      </c>
      <c r="E226" t="s">
        <v>74</v>
      </c>
      <c r="F226" t="s">
        <v>16</v>
      </c>
      <c r="G226" t="s">
        <v>16</v>
      </c>
      <c r="H226" t="s">
        <v>10</v>
      </c>
      <c r="I226" t="s">
        <v>11</v>
      </c>
      <c r="J226" t="s">
        <v>11</v>
      </c>
      <c r="L226">
        <v>0</v>
      </c>
      <c r="M226">
        <v>1300</v>
      </c>
      <c r="N226">
        <v>1300</v>
      </c>
      <c r="P226">
        <v>0</v>
      </c>
      <c r="Q226">
        <v>800</v>
      </c>
      <c r="R226" t="s">
        <v>201</v>
      </c>
      <c r="S226">
        <v>0</v>
      </c>
      <c r="T226">
        <v>0</v>
      </c>
      <c r="U226">
        <v>0</v>
      </c>
      <c r="V226">
        <v>0</v>
      </c>
      <c r="W226" t="s">
        <v>210</v>
      </c>
    </row>
    <row r="227" spans="1:23">
      <c r="A227">
        <v>10069</v>
      </c>
      <c r="B227">
        <v>45309</v>
      </c>
      <c r="C227">
        <v>45309</v>
      </c>
      <c r="D227" t="s">
        <v>40</v>
      </c>
      <c r="E227" t="s">
        <v>40</v>
      </c>
      <c r="F227" t="s">
        <v>134</v>
      </c>
      <c r="G227" t="s">
        <v>16</v>
      </c>
      <c r="H227" t="s">
        <v>21</v>
      </c>
      <c r="I227" t="s">
        <v>22</v>
      </c>
      <c r="J227" t="s">
        <v>22</v>
      </c>
      <c r="K227">
        <v>20</v>
      </c>
      <c r="L227">
        <v>20</v>
      </c>
      <c r="M227">
        <v>2250</v>
      </c>
      <c r="N227">
        <v>2250</v>
      </c>
      <c r="P227">
        <v>20</v>
      </c>
      <c r="Q227">
        <v>1500</v>
      </c>
      <c r="R227" t="s">
        <v>199</v>
      </c>
      <c r="S227">
        <v>45000</v>
      </c>
      <c r="T227">
        <v>30000</v>
      </c>
      <c r="U227">
        <v>15000</v>
      </c>
      <c r="V227">
        <v>0.33333333333333298</v>
      </c>
      <c r="W227" t="s">
        <v>209</v>
      </c>
    </row>
    <row r="228" spans="1:23">
      <c r="A228">
        <v>10158</v>
      </c>
      <c r="B228">
        <v>45318</v>
      </c>
      <c r="C228">
        <v>45318</v>
      </c>
      <c r="D228" t="s">
        <v>19</v>
      </c>
      <c r="E228" t="s">
        <v>19</v>
      </c>
      <c r="F228" t="s">
        <v>9</v>
      </c>
      <c r="G228" t="s">
        <v>9</v>
      </c>
      <c r="H228" t="s">
        <v>10</v>
      </c>
      <c r="I228" t="s">
        <v>11</v>
      </c>
      <c r="J228" t="s">
        <v>11</v>
      </c>
      <c r="K228">
        <v>8</v>
      </c>
      <c r="L228">
        <v>8</v>
      </c>
      <c r="M228">
        <v>1250</v>
      </c>
      <c r="N228">
        <v>1250</v>
      </c>
      <c r="P228">
        <v>8</v>
      </c>
      <c r="Q228">
        <v>800</v>
      </c>
      <c r="R228" t="s">
        <v>201</v>
      </c>
      <c r="S228">
        <v>10000</v>
      </c>
      <c r="T228">
        <v>6400</v>
      </c>
      <c r="U228">
        <v>3600</v>
      </c>
      <c r="V228">
        <v>0.36</v>
      </c>
      <c r="W228" t="s">
        <v>209</v>
      </c>
    </row>
    <row r="229" spans="1:23">
      <c r="A229">
        <v>10313</v>
      </c>
      <c r="B229">
        <v>45371</v>
      </c>
      <c r="C229">
        <v>45371</v>
      </c>
      <c r="D229" t="s">
        <v>106</v>
      </c>
      <c r="E229" t="s">
        <v>15</v>
      </c>
      <c r="F229" t="s">
        <v>20</v>
      </c>
      <c r="G229" t="s">
        <v>16</v>
      </c>
      <c r="H229" t="s">
        <v>33</v>
      </c>
      <c r="I229" t="s">
        <v>60</v>
      </c>
      <c r="J229" t="s">
        <v>251</v>
      </c>
      <c r="K229">
        <v>8</v>
      </c>
      <c r="L229">
        <v>8</v>
      </c>
      <c r="M229">
        <v>700</v>
      </c>
      <c r="N229">
        <v>700</v>
      </c>
      <c r="P229">
        <v>8</v>
      </c>
      <c r="Q229">
        <v>450</v>
      </c>
      <c r="R229" t="s">
        <v>202</v>
      </c>
      <c r="S229">
        <v>5600</v>
      </c>
      <c r="T229">
        <v>3600</v>
      </c>
      <c r="U229">
        <v>2000</v>
      </c>
      <c r="V229">
        <v>0.35714285714285698</v>
      </c>
      <c r="W229" t="s">
        <v>211</v>
      </c>
    </row>
    <row r="230" spans="1:23">
      <c r="A230">
        <v>10318</v>
      </c>
      <c r="B230">
        <v>45333</v>
      </c>
      <c r="C230">
        <v>45333</v>
      </c>
      <c r="D230" t="s">
        <v>74</v>
      </c>
      <c r="E230" t="s">
        <v>74</v>
      </c>
      <c r="F230" t="s">
        <v>36</v>
      </c>
      <c r="G230" t="s">
        <v>9</v>
      </c>
      <c r="H230" t="s">
        <v>17</v>
      </c>
      <c r="I230" t="s">
        <v>18</v>
      </c>
      <c r="J230" t="s">
        <v>18</v>
      </c>
      <c r="K230">
        <v>12</v>
      </c>
      <c r="L230">
        <v>12</v>
      </c>
      <c r="M230">
        <v>500</v>
      </c>
      <c r="N230">
        <v>500</v>
      </c>
      <c r="P230">
        <v>12</v>
      </c>
      <c r="Q230">
        <v>350</v>
      </c>
      <c r="R230" t="s">
        <v>199</v>
      </c>
      <c r="S230">
        <v>6000</v>
      </c>
      <c r="T230">
        <v>4200</v>
      </c>
      <c r="U230">
        <v>1800</v>
      </c>
      <c r="V230">
        <v>0.3</v>
      </c>
      <c r="W230" t="s">
        <v>210</v>
      </c>
    </row>
    <row r="231" spans="1:23">
      <c r="A231">
        <v>10007</v>
      </c>
      <c r="B231">
        <v>45325</v>
      </c>
      <c r="C231">
        <v>45325</v>
      </c>
      <c r="D231" t="s">
        <v>37</v>
      </c>
      <c r="E231" t="s">
        <v>15</v>
      </c>
      <c r="F231" t="s">
        <v>52</v>
      </c>
      <c r="G231" t="s">
        <v>14</v>
      </c>
      <c r="H231" t="s">
        <v>30</v>
      </c>
      <c r="I231" t="s">
        <v>127</v>
      </c>
      <c r="J231" t="s">
        <v>208</v>
      </c>
      <c r="K231">
        <v>12</v>
      </c>
      <c r="L231">
        <v>12</v>
      </c>
      <c r="M231">
        <v>1800</v>
      </c>
      <c r="N231">
        <v>1800</v>
      </c>
      <c r="P231">
        <v>12</v>
      </c>
      <c r="Q231">
        <v>1100</v>
      </c>
      <c r="R231" t="s">
        <v>202</v>
      </c>
      <c r="S231">
        <v>21600</v>
      </c>
      <c r="T231">
        <v>13200</v>
      </c>
      <c r="U231">
        <v>8400</v>
      </c>
      <c r="V231">
        <v>0.38888888888888901</v>
      </c>
      <c r="W231" t="s">
        <v>210</v>
      </c>
    </row>
    <row r="232" spans="1:23">
      <c r="A232">
        <v>10048</v>
      </c>
      <c r="B232">
        <v>45304</v>
      </c>
      <c r="C232">
        <v>45304</v>
      </c>
      <c r="D232" t="s">
        <v>15</v>
      </c>
      <c r="E232" t="s">
        <v>15</v>
      </c>
      <c r="F232" t="s">
        <v>46</v>
      </c>
      <c r="G232" t="s">
        <v>46</v>
      </c>
      <c r="H232" t="s">
        <v>77</v>
      </c>
      <c r="I232" t="s">
        <v>78</v>
      </c>
      <c r="J232" t="s">
        <v>207</v>
      </c>
      <c r="K232">
        <v>6</v>
      </c>
      <c r="L232">
        <v>6</v>
      </c>
      <c r="M232">
        <v>1850</v>
      </c>
      <c r="N232">
        <v>1850</v>
      </c>
      <c r="P232">
        <v>6</v>
      </c>
      <c r="Q232">
        <v>1200</v>
      </c>
      <c r="R232" t="s">
        <v>201</v>
      </c>
      <c r="S232">
        <v>11100</v>
      </c>
      <c r="T232">
        <v>7200</v>
      </c>
      <c r="U232">
        <v>3900</v>
      </c>
      <c r="V232">
        <v>0.35135135135135098</v>
      </c>
      <c r="W232" t="s">
        <v>209</v>
      </c>
    </row>
    <row r="233" spans="1:23">
      <c r="A233">
        <v>10034</v>
      </c>
      <c r="B233">
        <v>45346</v>
      </c>
      <c r="C233">
        <v>45346</v>
      </c>
      <c r="D233" t="s">
        <v>145</v>
      </c>
      <c r="E233" t="s">
        <v>19</v>
      </c>
      <c r="F233" t="s">
        <v>80</v>
      </c>
      <c r="G233" t="s">
        <v>81</v>
      </c>
      <c r="H233" t="s">
        <v>21</v>
      </c>
      <c r="I233" t="s">
        <v>22</v>
      </c>
      <c r="J233" t="s">
        <v>22</v>
      </c>
      <c r="K233">
        <v>3</v>
      </c>
      <c r="L233">
        <v>3</v>
      </c>
      <c r="M233">
        <v>2350</v>
      </c>
      <c r="N233">
        <v>2350</v>
      </c>
      <c r="P233">
        <v>3</v>
      </c>
      <c r="Q233">
        <v>1500</v>
      </c>
      <c r="R233" t="s">
        <v>199</v>
      </c>
      <c r="S233">
        <v>7050</v>
      </c>
      <c r="T233">
        <v>4500</v>
      </c>
      <c r="U233">
        <v>2550</v>
      </c>
      <c r="V233">
        <v>0.36170212765957399</v>
      </c>
      <c r="W233" t="s">
        <v>210</v>
      </c>
    </row>
    <row r="234" spans="1:23">
      <c r="A234">
        <v>10049</v>
      </c>
      <c r="B234">
        <v>45293</v>
      </c>
      <c r="C234">
        <v>45293</v>
      </c>
      <c r="D234" t="s">
        <v>19</v>
      </c>
      <c r="E234" t="s">
        <v>19</v>
      </c>
      <c r="F234" t="s">
        <v>114</v>
      </c>
      <c r="G234" t="s">
        <v>46</v>
      </c>
      <c r="H234" t="s">
        <v>38</v>
      </c>
      <c r="I234" t="s">
        <v>119</v>
      </c>
      <c r="J234" t="s">
        <v>252</v>
      </c>
      <c r="K234">
        <v>10</v>
      </c>
      <c r="L234">
        <v>10</v>
      </c>
      <c r="M234">
        <v>550</v>
      </c>
      <c r="N234">
        <v>550</v>
      </c>
      <c r="P234">
        <v>10</v>
      </c>
      <c r="Q234">
        <v>300</v>
      </c>
      <c r="R234" t="s">
        <v>200</v>
      </c>
      <c r="S234">
        <v>5500</v>
      </c>
      <c r="T234">
        <v>3000</v>
      </c>
      <c r="U234">
        <v>2500</v>
      </c>
      <c r="V234">
        <v>0.45454545454545497</v>
      </c>
      <c r="W234" t="s">
        <v>209</v>
      </c>
    </row>
    <row r="235" spans="1:23">
      <c r="A235">
        <v>10200</v>
      </c>
      <c r="B235">
        <v>45344</v>
      </c>
      <c r="C235">
        <v>45344</v>
      </c>
      <c r="D235" t="s">
        <v>74</v>
      </c>
      <c r="E235" t="s">
        <v>74</v>
      </c>
      <c r="F235" t="s">
        <v>102</v>
      </c>
      <c r="G235" t="s">
        <v>14</v>
      </c>
      <c r="H235" t="s">
        <v>111</v>
      </c>
      <c r="I235" t="s">
        <v>112</v>
      </c>
      <c r="J235" t="s">
        <v>112</v>
      </c>
      <c r="K235">
        <v>6</v>
      </c>
      <c r="L235">
        <v>6</v>
      </c>
      <c r="N235">
        <v>0</v>
      </c>
      <c r="P235">
        <v>6</v>
      </c>
      <c r="Q235">
        <v>550</v>
      </c>
      <c r="R235" t="s">
        <v>201</v>
      </c>
      <c r="S235">
        <v>0</v>
      </c>
      <c r="T235">
        <v>3300</v>
      </c>
      <c r="U235">
        <v>-3300</v>
      </c>
      <c r="V235">
        <v>0</v>
      </c>
      <c r="W235" t="s">
        <v>210</v>
      </c>
    </row>
    <row r="236" spans="1:23">
      <c r="A236">
        <v>10039</v>
      </c>
      <c r="B236">
        <v>45324</v>
      </c>
      <c r="C236">
        <v>45324</v>
      </c>
      <c r="D236" t="s">
        <v>74</v>
      </c>
      <c r="E236" t="s">
        <v>74</v>
      </c>
      <c r="F236" t="s">
        <v>81</v>
      </c>
      <c r="G236" t="s">
        <v>81</v>
      </c>
      <c r="H236" t="s">
        <v>17</v>
      </c>
      <c r="I236" t="s">
        <v>44</v>
      </c>
      <c r="J236" t="s">
        <v>18</v>
      </c>
      <c r="K236">
        <v>12</v>
      </c>
      <c r="L236">
        <v>12</v>
      </c>
      <c r="M236">
        <v>500</v>
      </c>
      <c r="N236">
        <v>500</v>
      </c>
      <c r="P236">
        <v>12</v>
      </c>
      <c r="Q236">
        <v>350</v>
      </c>
      <c r="R236" t="s">
        <v>199</v>
      </c>
      <c r="S236">
        <v>6000</v>
      </c>
      <c r="T236">
        <v>4200</v>
      </c>
      <c r="U236">
        <v>1800</v>
      </c>
      <c r="V236">
        <v>0.3</v>
      </c>
      <c r="W236" t="s">
        <v>210</v>
      </c>
    </row>
    <row r="237" spans="1:23">
      <c r="A237">
        <v>10324</v>
      </c>
      <c r="B237">
        <v>45380</v>
      </c>
      <c r="C237">
        <v>45380</v>
      </c>
      <c r="D237" t="s">
        <v>41</v>
      </c>
      <c r="E237" t="s">
        <v>41</v>
      </c>
      <c r="F237" t="s">
        <v>24</v>
      </c>
      <c r="G237" t="s">
        <v>24</v>
      </c>
      <c r="H237" t="s">
        <v>30</v>
      </c>
      <c r="I237" t="s">
        <v>31</v>
      </c>
      <c r="J237" t="s">
        <v>208</v>
      </c>
      <c r="K237">
        <v>3</v>
      </c>
      <c r="L237">
        <v>3</v>
      </c>
      <c r="M237">
        <v>1700</v>
      </c>
      <c r="N237">
        <v>1700</v>
      </c>
      <c r="P237">
        <v>3</v>
      </c>
      <c r="Q237">
        <v>1100</v>
      </c>
      <c r="R237" t="s">
        <v>202</v>
      </c>
      <c r="S237">
        <v>5100</v>
      </c>
      <c r="T237">
        <v>3300</v>
      </c>
      <c r="U237">
        <v>1800</v>
      </c>
      <c r="V237">
        <v>0.35294117647058798</v>
      </c>
      <c r="W237" t="s">
        <v>211</v>
      </c>
    </row>
    <row r="238" spans="1:23">
      <c r="A238">
        <v>10190</v>
      </c>
      <c r="B238">
        <v>45506</v>
      </c>
      <c r="C238">
        <v>45506</v>
      </c>
      <c r="D238" t="s">
        <v>47</v>
      </c>
      <c r="E238" t="s">
        <v>15</v>
      </c>
      <c r="F238" t="s">
        <v>14</v>
      </c>
      <c r="G238" t="s">
        <v>14</v>
      </c>
      <c r="H238" t="s">
        <v>30</v>
      </c>
      <c r="I238" t="s">
        <v>31</v>
      </c>
      <c r="J238" t="s">
        <v>208</v>
      </c>
      <c r="K238">
        <v>8</v>
      </c>
      <c r="L238">
        <v>8</v>
      </c>
      <c r="M238">
        <v>1700</v>
      </c>
      <c r="N238">
        <v>1700</v>
      </c>
      <c r="P238">
        <v>8</v>
      </c>
      <c r="Q238">
        <v>1100</v>
      </c>
      <c r="R238" t="s">
        <v>202</v>
      </c>
      <c r="S238">
        <v>13600</v>
      </c>
      <c r="T238">
        <v>8800</v>
      </c>
      <c r="U238">
        <v>4800</v>
      </c>
      <c r="V238">
        <v>0.35294117647058798</v>
      </c>
      <c r="W238" t="s">
        <v>216</v>
      </c>
    </row>
    <row r="239" spans="1:23">
      <c r="A239">
        <v>10259</v>
      </c>
      <c r="B239">
        <v>45314</v>
      </c>
      <c r="C239">
        <v>45314</v>
      </c>
      <c r="D239" t="s">
        <v>40</v>
      </c>
      <c r="E239" t="s">
        <v>40</v>
      </c>
      <c r="F239" t="s">
        <v>9</v>
      </c>
      <c r="G239" t="s">
        <v>9</v>
      </c>
      <c r="H239" t="s">
        <v>30</v>
      </c>
      <c r="I239" t="s">
        <v>31</v>
      </c>
      <c r="J239" t="s">
        <v>208</v>
      </c>
      <c r="K239">
        <v>3</v>
      </c>
      <c r="L239">
        <v>3</v>
      </c>
      <c r="M239">
        <v>1650</v>
      </c>
      <c r="N239">
        <v>1650</v>
      </c>
      <c r="P239">
        <v>3</v>
      </c>
      <c r="Q239">
        <v>1100</v>
      </c>
      <c r="R239" t="s">
        <v>202</v>
      </c>
      <c r="S239">
        <v>4950</v>
      </c>
      <c r="T239">
        <v>3300</v>
      </c>
      <c r="U239">
        <v>1650</v>
      </c>
      <c r="V239">
        <v>0.33333333333333298</v>
      </c>
      <c r="W239" t="s">
        <v>209</v>
      </c>
    </row>
    <row r="240" spans="1:23">
      <c r="A240">
        <v>10229</v>
      </c>
      <c r="B240">
        <v>45354</v>
      </c>
      <c r="C240">
        <v>45354</v>
      </c>
      <c r="D240" t="s">
        <v>145</v>
      </c>
      <c r="E240" t="s">
        <v>19</v>
      </c>
      <c r="F240" t="s">
        <v>64</v>
      </c>
      <c r="G240" t="s">
        <v>24</v>
      </c>
      <c r="H240" t="s">
        <v>55</v>
      </c>
      <c r="I240" t="s">
        <v>163</v>
      </c>
      <c r="J240" t="s">
        <v>256</v>
      </c>
      <c r="K240">
        <v>1</v>
      </c>
      <c r="L240">
        <v>1</v>
      </c>
      <c r="M240">
        <v>880</v>
      </c>
      <c r="N240">
        <v>880</v>
      </c>
      <c r="P240">
        <v>1</v>
      </c>
      <c r="Q240">
        <v>480</v>
      </c>
      <c r="R240" t="s">
        <v>200</v>
      </c>
      <c r="S240">
        <v>880</v>
      </c>
      <c r="T240">
        <v>480</v>
      </c>
      <c r="U240">
        <v>400</v>
      </c>
      <c r="V240">
        <v>0.45454545454545497</v>
      </c>
      <c r="W240" t="s">
        <v>211</v>
      </c>
    </row>
    <row r="241" spans="1:23">
      <c r="A241">
        <v>10302</v>
      </c>
      <c r="B241">
        <v>45326</v>
      </c>
      <c r="C241">
        <v>45326</v>
      </c>
      <c r="D241" t="s">
        <v>37</v>
      </c>
      <c r="E241" t="s">
        <v>15</v>
      </c>
      <c r="F241" t="s">
        <v>14</v>
      </c>
      <c r="G241" t="s">
        <v>14</v>
      </c>
      <c r="H241" t="s">
        <v>38</v>
      </c>
      <c r="I241" t="s">
        <v>118</v>
      </c>
      <c r="J241" t="s">
        <v>252</v>
      </c>
      <c r="K241">
        <v>4</v>
      </c>
      <c r="L241">
        <v>4</v>
      </c>
      <c r="M241">
        <v>500</v>
      </c>
      <c r="N241">
        <v>500</v>
      </c>
      <c r="P241">
        <v>4</v>
      </c>
      <c r="Q241">
        <v>300</v>
      </c>
      <c r="R241" t="s">
        <v>200</v>
      </c>
      <c r="S241">
        <v>2000</v>
      </c>
      <c r="T241">
        <v>1200</v>
      </c>
      <c r="U241">
        <v>800</v>
      </c>
      <c r="V241">
        <v>0.4</v>
      </c>
      <c r="W241" t="s">
        <v>210</v>
      </c>
    </row>
    <row r="242" spans="1:23">
      <c r="A242">
        <v>10240</v>
      </c>
      <c r="B242" t="s">
        <v>166</v>
      </c>
      <c r="C242">
        <v>45318</v>
      </c>
      <c r="D242" t="s">
        <v>15</v>
      </c>
      <c r="E242" t="s">
        <v>15</v>
      </c>
      <c r="F242" t="s">
        <v>36</v>
      </c>
      <c r="G242" t="s">
        <v>9</v>
      </c>
      <c r="H242" t="s">
        <v>38</v>
      </c>
      <c r="I242" t="s">
        <v>39</v>
      </c>
      <c r="J242" t="s">
        <v>252</v>
      </c>
      <c r="K242">
        <v>2</v>
      </c>
      <c r="L242">
        <v>2</v>
      </c>
      <c r="M242">
        <v>500</v>
      </c>
      <c r="N242">
        <v>500</v>
      </c>
      <c r="P242">
        <v>2</v>
      </c>
      <c r="Q242">
        <v>300</v>
      </c>
      <c r="R242" t="s">
        <v>200</v>
      </c>
      <c r="S242">
        <v>1000</v>
      </c>
      <c r="T242">
        <v>600</v>
      </c>
      <c r="U242">
        <v>400</v>
      </c>
      <c r="V242">
        <v>0.4</v>
      </c>
      <c r="W242" t="s">
        <v>209</v>
      </c>
    </row>
    <row r="243" spans="1:23">
      <c r="A243">
        <v>10191</v>
      </c>
      <c r="B243">
        <v>45338</v>
      </c>
      <c r="C243">
        <v>45338</v>
      </c>
      <c r="D243" t="s">
        <v>35</v>
      </c>
      <c r="E243" t="s">
        <v>35</v>
      </c>
      <c r="F243" t="s">
        <v>9</v>
      </c>
      <c r="G243" t="s">
        <v>9</v>
      </c>
      <c r="H243" t="s">
        <v>65</v>
      </c>
      <c r="I243" t="s">
        <v>73</v>
      </c>
      <c r="J243" t="s">
        <v>73</v>
      </c>
      <c r="K243">
        <v>15</v>
      </c>
      <c r="L243">
        <v>15</v>
      </c>
      <c r="M243">
        <v>700</v>
      </c>
      <c r="N243">
        <v>700</v>
      </c>
      <c r="P243">
        <v>15</v>
      </c>
      <c r="Q243">
        <v>400</v>
      </c>
      <c r="R243" t="s">
        <v>199</v>
      </c>
      <c r="S243">
        <v>10500</v>
      </c>
      <c r="T243">
        <v>6000</v>
      </c>
      <c r="U243">
        <v>4500</v>
      </c>
      <c r="V243">
        <v>0.42857142857142899</v>
      </c>
      <c r="W243" t="s">
        <v>210</v>
      </c>
    </row>
    <row r="244" spans="1:23">
      <c r="A244">
        <v>10114</v>
      </c>
      <c r="B244">
        <v>45329</v>
      </c>
      <c r="C244">
        <v>45329</v>
      </c>
      <c r="D244" t="s">
        <v>23</v>
      </c>
      <c r="E244" t="s">
        <v>35</v>
      </c>
      <c r="F244" t="s">
        <v>9</v>
      </c>
      <c r="G244" t="s">
        <v>9</v>
      </c>
      <c r="H244" t="s">
        <v>30</v>
      </c>
      <c r="I244" t="s">
        <v>31</v>
      </c>
      <c r="J244" t="s">
        <v>208</v>
      </c>
      <c r="K244">
        <v>20</v>
      </c>
      <c r="L244">
        <v>20</v>
      </c>
      <c r="M244">
        <v>1700</v>
      </c>
      <c r="N244">
        <v>1700</v>
      </c>
      <c r="P244">
        <v>20</v>
      </c>
      <c r="Q244">
        <v>1100</v>
      </c>
      <c r="R244" t="s">
        <v>202</v>
      </c>
      <c r="S244">
        <v>34000</v>
      </c>
      <c r="T244">
        <v>22000</v>
      </c>
      <c r="U244">
        <v>12000</v>
      </c>
      <c r="V244">
        <v>0.35294117647058798</v>
      </c>
      <c r="W244" t="s">
        <v>210</v>
      </c>
    </row>
    <row r="245" spans="1:23">
      <c r="A245">
        <v>10156</v>
      </c>
      <c r="B245">
        <v>45506</v>
      </c>
      <c r="C245">
        <v>45506</v>
      </c>
      <c r="D245" t="s">
        <v>40</v>
      </c>
      <c r="E245" t="s">
        <v>40</v>
      </c>
      <c r="F245" t="s">
        <v>134</v>
      </c>
      <c r="G245" t="s">
        <v>16</v>
      </c>
      <c r="H245" t="s">
        <v>33</v>
      </c>
      <c r="I245" t="s">
        <v>60</v>
      </c>
      <c r="J245" t="s">
        <v>251</v>
      </c>
      <c r="K245">
        <v>20</v>
      </c>
      <c r="L245">
        <v>20</v>
      </c>
      <c r="M245">
        <v>650</v>
      </c>
      <c r="N245">
        <v>650</v>
      </c>
      <c r="P245">
        <v>20</v>
      </c>
      <c r="Q245">
        <v>450</v>
      </c>
      <c r="R245" t="s">
        <v>202</v>
      </c>
      <c r="S245">
        <v>13000</v>
      </c>
      <c r="T245">
        <v>9000</v>
      </c>
      <c r="U245">
        <v>4000</v>
      </c>
      <c r="V245">
        <v>0.30769230769230799</v>
      </c>
      <c r="W245" t="s">
        <v>216</v>
      </c>
    </row>
    <row r="246" spans="1:23">
      <c r="A246">
        <v>10211</v>
      </c>
      <c r="B246">
        <v>45337</v>
      </c>
      <c r="C246">
        <v>45337</v>
      </c>
      <c r="D246" t="s">
        <v>15</v>
      </c>
      <c r="E246" t="s">
        <v>15</v>
      </c>
      <c r="F246" t="s">
        <v>9</v>
      </c>
      <c r="G246" t="s">
        <v>9</v>
      </c>
      <c r="H246" t="s">
        <v>77</v>
      </c>
      <c r="I246" t="s">
        <v>78</v>
      </c>
      <c r="J246" t="s">
        <v>207</v>
      </c>
      <c r="K246">
        <v>15</v>
      </c>
      <c r="L246">
        <v>15</v>
      </c>
      <c r="M246">
        <v>1850</v>
      </c>
      <c r="N246">
        <v>1850</v>
      </c>
      <c r="P246">
        <v>15</v>
      </c>
      <c r="Q246">
        <v>1200</v>
      </c>
      <c r="R246" t="s">
        <v>201</v>
      </c>
      <c r="S246">
        <v>27750</v>
      </c>
      <c r="T246">
        <v>18000</v>
      </c>
      <c r="U246">
        <v>9750</v>
      </c>
      <c r="V246">
        <v>0.35135135135135098</v>
      </c>
      <c r="W246" t="s">
        <v>210</v>
      </c>
    </row>
    <row r="247" spans="1:23">
      <c r="A247">
        <v>10212</v>
      </c>
      <c r="B247">
        <v>45355</v>
      </c>
      <c r="C247">
        <v>45355</v>
      </c>
      <c r="E247" t="s">
        <v>205</v>
      </c>
      <c r="F247" t="s">
        <v>46</v>
      </c>
      <c r="G247" t="s">
        <v>46</v>
      </c>
      <c r="H247" t="s">
        <v>53</v>
      </c>
      <c r="I247" t="s">
        <v>72</v>
      </c>
      <c r="J247" t="s">
        <v>255</v>
      </c>
      <c r="K247">
        <v>10</v>
      </c>
      <c r="L247">
        <v>10</v>
      </c>
      <c r="M247">
        <v>900</v>
      </c>
      <c r="N247">
        <v>900</v>
      </c>
      <c r="P247">
        <v>10</v>
      </c>
      <c r="Q247">
        <v>600</v>
      </c>
      <c r="R247" t="s">
        <v>200</v>
      </c>
      <c r="S247">
        <v>9000</v>
      </c>
      <c r="T247">
        <v>6000</v>
      </c>
      <c r="U247">
        <v>3000</v>
      </c>
      <c r="V247">
        <v>0.33333333333333298</v>
      </c>
      <c r="W247" t="s">
        <v>211</v>
      </c>
    </row>
    <row r="248" spans="1:23">
      <c r="A248">
        <v>10164</v>
      </c>
      <c r="B248">
        <v>45355</v>
      </c>
      <c r="C248">
        <v>45355</v>
      </c>
      <c r="D248" t="s">
        <v>19</v>
      </c>
      <c r="E248" t="s">
        <v>19</v>
      </c>
      <c r="F248" t="s">
        <v>42</v>
      </c>
      <c r="G248" t="s">
        <v>14</v>
      </c>
      <c r="H248" t="s">
        <v>38</v>
      </c>
      <c r="I248" t="s">
        <v>39</v>
      </c>
      <c r="J248" t="s">
        <v>252</v>
      </c>
      <c r="K248">
        <v>2</v>
      </c>
      <c r="L248">
        <v>2</v>
      </c>
      <c r="M248">
        <v>500</v>
      </c>
      <c r="N248">
        <v>500</v>
      </c>
      <c r="P248">
        <v>2</v>
      </c>
      <c r="Q248">
        <v>300</v>
      </c>
      <c r="R248" t="s">
        <v>200</v>
      </c>
      <c r="S248">
        <v>1000</v>
      </c>
      <c r="T248">
        <v>600</v>
      </c>
      <c r="U248">
        <v>400</v>
      </c>
      <c r="V248">
        <v>0.4</v>
      </c>
      <c r="W248" t="s">
        <v>211</v>
      </c>
    </row>
    <row r="249" spans="1:23">
      <c r="A249">
        <v>10297</v>
      </c>
      <c r="B249">
        <v>45357</v>
      </c>
      <c r="C249">
        <v>45357</v>
      </c>
      <c r="D249" t="s">
        <v>100</v>
      </c>
      <c r="E249" t="s">
        <v>19</v>
      </c>
      <c r="F249" t="s">
        <v>52</v>
      </c>
      <c r="G249" t="s">
        <v>14</v>
      </c>
      <c r="H249" t="s">
        <v>90</v>
      </c>
      <c r="I249" t="s">
        <v>96</v>
      </c>
      <c r="J249" t="s">
        <v>96</v>
      </c>
      <c r="K249">
        <v>3</v>
      </c>
      <c r="L249">
        <v>3</v>
      </c>
      <c r="M249">
        <v>5150</v>
      </c>
      <c r="N249">
        <v>5150</v>
      </c>
      <c r="P249">
        <v>3</v>
      </c>
      <c r="Q249">
        <v>3500</v>
      </c>
      <c r="R249" t="s">
        <v>202</v>
      </c>
      <c r="S249">
        <v>15450</v>
      </c>
      <c r="T249">
        <v>10500</v>
      </c>
      <c r="U249">
        <v>4950</v>
      </c>
      <c r="V249">
        <v>0.32038834951456302</v>
      </c>
      <c r="W249" t="s">
        <v>211</v>
      </c>
    </row>
    <row r="250" spans="1:23">
      <c r="A250">
        <v>10266</v>
      </c>
      <c r="B250" t="s">
        <v>67</v>
      </c>
      <c r="C250">
        <v>45340</v>
      </c>
      <c r="D250" t="s">
        <v>74</v>
      </c>
      <c r="E250" t="s">
        <v>74</v>
      </c>
      <c r="F250" t="s">
        <v>167</v>
      </c>
      <c r="G250" t="s">
        <v>48</v>
      </c>
      <c r="H250" t="s">
        <v>93</v>
      </c>
      <c r="I250" t="s">
        <v>94</v>
      </c>
      <c r="J250" t="s">
        <v>258</v>
      </c>
      <c r="K250">
        <v>12</v>
      </c>
      <c r="L250">
        <v>12</v>
      </c>
      <c r="M250">
        <v>1100</v>
      </c>
      <c r="N250">
        <v>1100</v>
      </c>
      <c r="P250">
        <v>12</v>
      </c>
      <c r="Q250">
        <v>700</v>
      </c>
      <c r="R250" t="s">
        <v>201</v>
      </c>
      <c r="S250">
        <v>13200</v>
      </c>
      <c r="T250">
        <v>8400</v>
      </c>
      <c r="U250">
        <v>4800</v>
      </c>
      <c r="V250">
        <v>0.36363636363636398</v>
      </c>
      <c r="W250" t="s">
        <v>210</v>
      </c>
    </row>
    <row r="251" spans="1:23">
      <c r="A251">
        <v>10095</v>
      </c>
      <c r="B251">
        <v>45507</v>
      </c>
      <c r="C251">
        <v>45507</v>
      </c>
      <c r="D251" t="s">
        <v>19</v>
      </c>
      <c r="E251" t="s">
        <v>19</v>
      </c>
      <c r="F251" t="s">
        <v>9</v>
      </c>
      <c r="G251" t="s">
        <v>9</v>
      </c>
      <c r="H251" t="s">
        <v>25</v>
      </c>
      <c r="I251" t="s">
        <v>97</v>
      </c>
      <c r="J251" t="s">
        <v>97</v>
      </c>
      <c r="K251">
        <v>6</v>
      </c>
      <c r="L251">
        <v>6</v>
      </c>
      <c r="M251">
        <v>420</v>
      </c>
      <c r="N251">
        <v>420</v>
      </c>
      <c r="P251">
        <v>6</v>
      </c>
      <c r="Q251">
        <v>250</v>
      </c>
      <c r="R251" t="s">
        <v>199</v>
      </c>
      <c r="S251">
        <v>2520</v>
      </c>
      <c r="T251">
        <v>1500</v>
      </c>
      <c r="U251">
        <v>1020</v>
      </c>
      <c r="V251">
        <v>0.40476190476190499</v>
      </c>
      <c r="W251" t="s">
        <v>216</v>
      </c>
    </row>
    <row r="252" spans="1:23">
      <c r="A252">
        <v>10061</v>
      </c>
      <c r="B252">
        <v>45340</v>
      </c>
      <c r="C252">
        <v>45340</v>
      </c>
      <c r="D252" t="s">
        <v>41</v>
      </c>
      <c r="E252" t="s">
        <v>41</v>
      </c>
      <c r="F252" t="s">
        <v>24</v>
      </c>
      <c r="G252" t="s">
        <v>24</v>
      </c>
      <c r="H252" t="s">
        <v>55</v>
      </c>
      <c r="I252" t="s">
        <v>56</v>
      </c>
      <c r="J252" t="s">
        <v>256</v>
      </c>
      <c r="K252">
        <v>4</v>
      </c>
      <c r="L252">
        <v>4</v>
      </c>
      <c r="M252">
        <v>780</v>
      </c>
      <c r="N252">
        <v>780</v>
      </c>
      <c r="P252">
        <v>4</v>
      </c>
      <c r="Q252">
        <v>480</v>
      </c>
      <c r="R252" t="s">
        <v>200</v>
      </c>
      <c r="S252">
        <v>3120</v>
      </c>
      <c r="T252">
        <v>1920</v>
      </c>
      <c r="U252">
        <v>1200</v>
      </c>
      <c r="V252">
        <v>0.38461538461538503</v>
      </c>
      <c r="W252" t="s">
        <v>210</v>
      </c>
    </row>
    <row r="253" spans="1:23">
      <c r="A253">
        <v>10339</v>
      </c>
      <c r="B253">
        <v>45344</v>
      </c>
      <c r="C253">
        <v>45344</v>
      </c>
      <c r="D253" t="s">
        <v>13</v>
      </c>
      <c r="E253" t="s">
        <v>41</v>
      </c>
      <c r="F253" t="s">
        <v>24</v>
      </c>
      <c r="G253" t="s">
        <v>24</v>
      </c>
      <c r="H253" t="s">
        <v>25</v>
      </c>
      <c r="I253" t="s">
        <v>26</v>
      </c>
      <c r="J253" t="s">
        <v>26</v>
      </c>
      <c r="K253">
        <v>4</v>
      </c>
      <c r="L253">
        <v>4</v>
      </c>
      <c r="M253">
        <v>420</v>
      </c>
      <c r="N253">
        <v>420</v>
      </c>
      <c r="P253">
        <v>4</v>
      </c>
      <c r="Q253">
        <v>250</v>
      </c>
      <c r="R253" t="s">
        <v>199</v>
      </c>
      <c r="S253">
        <v>1680</v>
      </c>
      <c r="T253">
        <v>1000</v>
      </c>
      <c r="U253">
        <v>680</v>
      </c>
      <c r="V253">
        <v>0.40476190476190499</v>
      </c>
      <c r="W253" t="s">
        <v>210</v>
      </c>
    </row>
    <row r="254" spans="1:23">
      <c r="A254">
        <v>10163</v>
      </c>
      <c r="B254">
        <v>45358</v>
      </c>
      <c r="C254">
        <v>45358</v>
      </c>
      <c r="D254" t="s">
        <v>47</v>
      </c>
      <c r="E254" t="s">
        <v>15</v>
      </c>
      <c r="F254" t="s">
        <v>48</v>
      </c>
      <c r="G254" t="s">
        <v>48</v>
      </c>
      <c r="H254" t="s">
        <v>53</v>
      </c>
      <c r="I254" t="s">
        <v>72</v>
      </c>
      <c r="J254" t="s">
        <v>255</v>
      </c>
      <c r="K254">
        <v>3</v>
      </c>
      <c r="L254">
        <v>3</v>
      </c>
      <c r="M254">
        <v>950</v>
      </c>
      <c r="N254">
        <v>950</v>
      </c>
      <c r="P254">
        <v>3</v>
      </c>
      <c r="Q254">
        <v>600</v>
      </c>
      <c r="R254" t="s">
        <v>200</v>
      </c>
      <c r="S254">
        <v>2850</v>
      </c>
      <c r="T254">
        <v>1800</v>
      </c>
      <c r="U254">
        <v>1050</v>
      </c>
      <c r="V254">
        <v>0.36842105263157898</v>
      </c>
      <c r="W254" t="s">
        <v>211</v>
      </c>
    </row>
    <row r="255" spans="1:23">
      <c r="A255">
        <v>10309</v>
      </c>
      <c r="B255">
        <v>45336</v>
      </c>
      <c r="C255">
        <v>45336</v>
      </c>
      <c r="D255" t="s">
        <v>98</v>
      </c>
      <c r="E255" t="s">
        <v>74</v>
      </c>
      <c r="F255" t="s">
        <v>48</v>
      </c>
      <c r="G255" t="s">
        <v>48</v>
      </c>
      <c r="H255" t="s">
        <v>50</v>
      </c>
      <c r="I255" t="s">
        <v>89</v>
      </c>
      <c r="J255" t="s">
        <v>257</v>
      </c>
      <c r="K255">
        <v>6</v>
      </c>
      <c r="L255">
        <v>6</v>
      </c>
      <c r="M255">
        <v>1550</v>
      </c>
      <c r="N255">
        <v>1550</v>
      </c>
      <c r="P255">
        <v>6</v>
      </c>
      <c r="Q255">
        <v>900</v>
      </c>
      <c r="R255" t="s">
        <v>200</v>
      </c>
      <c r="S255">
        <v>9300</v>
      </c>
      <c r="T255">
        <v>5400</v>
      </c>
      <c r="U255">
        <v>3900</v>
      </c>
      <c r="V255">
        <v>0.41935483870967699</v>
      </c>
      <c r="W255" t="s">
        <v>210</v>
      </c>
    </row>
    <row r="256" spans="1:23">
      <c r="A256">
        <v>10075</v>
      </c>
      <c r="B256">
        <v>45337</v>
      </c>
      <c r="C256">
        <v>45337</v>
      </c>
      <c r="D256" t="s">
        <v>74</v>
      </c>
      <c r="E256" t="s">
        <v>74</v>
      </c>
      <c r="F256" t="s">
        <v>167</v>
      </c>
      <c r="G256" t="s">
        <v>48</v>
      </c>
      <c r="H256" t="s">
        <v>93</v>
      </c>
      <c r="I256" t="s">
        <v>94</v>
      </c>
      <c r="J256" t="s">
        <v>258</v>
      </c>
      <c r="K256">
        <v>4</v>
      </c>
      <c r="L256">
        <v>4</v>
      </c>
      <c r="M256">
        <v>1050</v>
      </c>
      <c r="N256">
        <v>1050</v>
      </c>
      <c r="P256">
        <v>4</v>
      </c>
      <c r="Q256">
        <v>700</v>
      </c>
      <c r="R256" t="s">
        <v>201</v>
      </c>
      <c r="S256">
        <v>4200</v>
      </c>
      <c r="T256">
        <v>2800</v>
      </c>
      <c r="U256">
        <v>1400</v>
      </c>
      <c r="V256">
        <v>0.33333333333333298</v>
      </c>
      <c r="W256" t="s">
        <v>210</v>
      </c>
    </row>
    <row r="257" spans="1:23">
      <c r="A257">
        <v>10221</v>
      </c>
      <c r="B257">
        <v>45318</v>
      </c>
      <c r="C257">
        <v>45318</v>
      </c>
      <c r="D257" t="s">
        <v>15</v>
      </c>
      <c r="E257" t="s">
        <v>15</v>
      </c>
      <c r="F257" t="s">
        <v>46</v>
      </c>
      <c r="G257" t="s">
        <v>46</v>
      </c>
      <c r="H257" t="s">
        <v>50</v>
      </c>
      <c r="I257" t="s">
        <v>89</v>
      </c>
      <c r="J257" t="s">
        <v>257</v>
      </c>
      <c r="K257">
        <v>10</v>
      </c>
      <c r="L257">
        <v>10</v>
      </c>
      <c r="M257">
        <v>1400</v>
      </c>
      <c r="N257">
        <v>1400</v>
      </c>
      <c r="P257">
        <v>10</v>
      </c>
      <c r="Q257">
        <v>900</v>
      </c>
      <c r="R257" t="s">
        <v>200</v>
      </c>
      <c r="S257">
        <v>14000</v>
      </c>
      <c r="T257">
        <v>9000</v>
      </c>
      <c r="U257">
        <v>5000</v>
      </c>
      <c r="V257">
        <v>0.35714285714285698</v>
      </c>
      <c r="W257" t="s">
        <v>209</v>
      </c>
    </row>
    <row r="258" spans="1:23">
      <c r="A258">
        <v>10070</v>
      </c>
      <c r="B258">
        <v>45338</v>
      </c>
      <c r="C258">
        <v>45338</v>
      </c>
      <c r="D258" t="s">
        <v>100</v>
      </c>
      <c r="E258" t="s">
        <v>19</v>
      </c>
      <c r="F258" t="s">
        <v>46</v>
      </c>
      <c r="G258" t="s">
        <v>46</v>
      </c>
      <c r="H258" t="s">
        <v>55</v>
      </c>
      <c r="I258" t="s">
        <v>56</v>
      </c>
      <c r="J258" t="s">
        <v>256</v>
      </c>
      <c r="K258">
        <v>3</v>
      </c>
      <c r="L258">
        <v>3</v>
      </c>
      <c r="M258">
        <v>780</v>
      </c>
      <c r="N258">
        <v>780</v>
      </c>
      <c r="P258">
        <v>3</v>
      </c>
      <c r="Q258">
        <v>480</v>
      </c>
      <c r="R258" t="s">
        <v>200</v>
      </c>
      <c r="S258">
        <v>2340</v>
      </c>
      <c r="T258">
        <v>1440</v>
      </c>
      <c r="U258">
        <v>900</v>
      </c>
      <c r="V258">
        <v>0.38461538461538503</v>
      </c>
      <c r="W258" t="s">
        <v>210</v>
      </c>
    </row>
    <row r="259" spans="1:23">
      <c r="A259">
        <v>10269</v>
      </c>
      <c r="B259">
        <v>45377</v>
      </c>
      <c r="C259">
        <v>45377</v>
      </c>
      <c r="D259" t="s">
        <v>35</v>
      </c>
      <c r="E259" t="s">
        <v>35</v>
      </c>
      <c r="F259" t="s">
        <v>81</v>
      </c>
      <c r="G259" t="s">
        <v>81</v>
      </c>
      <c r="H259" t="s">
        <v>77</v>
      </c>
      <c r="I259" t="s">
        <v>78</v>
      </c>
      <c r="J259" t="s">
        <v>207</v>
      </c>
      <c r="K259">
        <v>20</v>
      </c>
      <c r="L259">
        <v>20</v>
      </c>
      <c r="M259">
        <v>1950</v>
      </c>
      <c r="N259">
        <v>1950</v>
      </c>
      <c r="P259">
        <v>20</v>
      </c>
      <c r="Q259">
        <v>1200</v>
      </c>
      <c r="R259" t="s">
        <v>201</v>
      </c>
      <c r="S259">
        <v>39000</v>
      </c>
      <c r="T259">
        <v>24000</v>
      </c>
      <c r="U259">
        <v>15000</v>
      </c>
      <c r="V259">
        <v>0.38461538461538503</v>
      </c>
      <c r="W259" t="s">
        <v>211</v>
      </c>
    </row>
    <row r="260" spans="1:23">
      <c r="A260">
        <v>10159</v>
      </c>
      <c r="B260">
        <v>45380</v>
      </c>
      <c r="C260">
        <v>45380</v>
      </c>
      <c r="D260" t="s">
        <v>40</v>
      </c>
      <c r="E260" t="s">
        <v>40</v>
      </c>
      <c r="F260" t="s">
        <v>16</v>
      </c>
      <c r="G260" t="s">
        <v>16</v>
      </c>
      <c r="H260" t="s">
        <v>111</v>
      </c>
      <c r="I260" t="s">
        <v>112</v>
      </c>
      <c r="J260" t="s">
        <v>112</v>
      </c>
      <c r="K260">
        <v>6</v>
      </c>
      <c r="L260">
        <v>6</v>
      </c>
      <c r="M260">
        <v>850</v>
      </c>
      <c r="N260">
        <v>850</v>
      </c>
      <c r="P260">
        <v>6</v>
      </c>
      <c r="Q260">
        <v>550</v>
      </c>
      <c r="R260" t="s">
        <v>201</v>
      </c>
      <c r="S260">
        <v>5100</v>
      </c>
      <c r="T260">
        <v>3300</v>
      </c>
      <c r="U260">
        <v>1800</v>
      </c>
      <c r="V260">
        <v>0.35294117647058798</v>
      </c>
      <c r="W260" t="s">
        <v>211</v>
      </c>
    </row>
    <row r="261" spans="1:23">
      <c r="A261">
        <v>10275</v>
      </c>
      <c r="B261">
        <v>45374</v>
      </c>
      <c r="C261">
        <v>45374</v>
      </c>
      <c r="D261" t="s">
        <v>35</v>
      </c>
      <c r="E261" t="s">
        <v>35</v>
      </c>
      <c r="F261" t="s">
        <v>149</v>
      </c>
      <c r="G261" t="s">
        <v>62</v>
      </c>
      <c r="H261" t="s">
        <v>111</v>
      </c>
      <c r="I261" t="s">
        <v>112</v>
      </c>
      <c r="J261" t="s">
        <v>112</v>
      </c>
      <c r="K261">
        <v>12</v>
      </c>
      <c r="L261">
        <v>12</v>
      </c>
      <c r="N261">
        <v>0</v>
      </c>
      <c r="P261">
        <v>12</v>
      </c>
      <c r="Q261">
        <v>550</v>
      </c>
      <c r="R261" t="s">
        <v>201</v>
      </c>
      <c r="S261">
        <v>0</v>
      </c>
      <c r="T261">
        <v>6600</v>
      </c>
      <c r="U261">
        <v>-6600</v>
      </c>
      <c r="V261">
        <v>0</v>
      </c>
      <c r="W261" t="s">
        <v>211</v>
      </c>
    </row>
    <row r="262" spans="1:23">
      <c r="A262">
        <v>10104</v>
      </c>
      <c r="B262" t="s">
        <v>28</v>
      </c>
      <c r="C262">
        <v>45306</v>
      </c>
      <c r="D262" t="s">
        <v>41</v>
      </c>
      <c r="E262" t="s">
        <v>41</v>
      </c>
      <c r="F262" t="s">
        <v>62</v>
      </c>
      <c r="G262" t="s">
        <v>62</v>
      </c>
      <c r="H262" t="s">
        <v>33</v>
      </c>
      <c r="I262" t="s">
        <v>34</v>
      </c>
      <c r="J262" t="s">
        <v>251</v>
      </c>
      <c r="K262">
        <v>12</v>
      </c>
      <c r="L262">
        <v>12</v>
      </c>
      <c r="M262">
        <v>800</v>
      </c>
      <c r="N262">
        <v>800</v>
      </c>
      <c r="P262">
        <v>12</v>
      </c>
      <c r="Q262">
        <v>450</v>
      </c>
      <c r="R262" t="s">
        <v>202</v>
      </c>
      <c r="S262">
        <v>9600</v>
      </c>
      <c r="T262">
        <v>5400</v>
      </c>
      <c r="U262">
        <v>4200</v>
      </c>
      <c r="V262">
        <v>0.4375</v>
      </c>
      <c r="W262" t="s">
        <v>209</v>
      </c>
    </row>
    <row r="263" spans="1:23">
      <c r="A263">
        <v>10290</v>
      </c>
      <c r="B263">
        <v>45627</v>
      </c>
      <c r="C263">
        <v>45627</v>
      </c>
      <c r="D263" t="s">
        <v>41</v>
      </c>
      <c r="E263" t="s">
        <v>41</v>
      </c>
      <c r="F263" t="s">
        <v>9</v>
      </c>
      <c r="G263" t="s">
        <v>9</v>
      </c>
      <c r="H263" t="s">
        <v>21</v>
      </c>
      <c r="I263" t="s">
        <v>22</v>
      </c>
      <c r="J263" t="s">
        <v>22</v>
      </c>
      <c r="K263">
        <v>15</v>
      </c>
      <c r="L263">
        <v>15</v>
      </c>
      <c r="M263">
        <v>2400</v>
      </c>
      <c r="N263">
        <v>2400</v>
      </c>
      <c r="P263">
        <v>15</v>
      </c>
      <c r="Q263">
        <v>1500</v>
      </c>
      <c r="R263" t="s">
        <v>199</v>
      </c>
      <c r="S263">
        <v>36000</v>
      </c>
      <c r="T263">
        <v>22500</v>
      </c>
      <c r="U263">
        <v>13500</v>
      </c>
      <c r="V263">
        <v>0.375</v>
      </c>
      <c r="W263" t="s">
        <v>220</v>
      </c>
    </row>
    <row r="264" spans="1:23">
      <c r="A264">
        <v>10106</v>
      </c>
      <c r="B264">
        <v>45334</v>
      </c>
      <c r="C264">
        <v>45334</v>
      </c>
      <c r="D264" t="s">
        <v>15</v>
      </c>
      <c r="E264" t="s">
        <v>15</v>
      </c>
      <c r="F264" t="s">
        <v>110</v>
      </c>
      <c r="G264" t="s">
        <v>62</v>
      </c>
      <c r="H264" t="s">
        <v>25</v>
      </c>
      <c r="I264" t="s">
        <v>97</v>
      </c>
      <c r="J264" t="s">
        <v>97</v>
      </c>
      <c r="K264">
        <v>12</v>
      </c>
      <c r="L264">
        <v>12</v>
      </c>
      <c r="M264">
        <v>420</v>
      </c>
      <c r="N264">
        <v>420</v>
      </c>
      <c r="P264">
        <v>12</v>
      </c>
      <c r="Q264">
        <v>250</v>
      </c>
      <c r="R264" t="s">
        <v>199</v>
      </c>
      <c r="S264">
        <v>5040</v>
      </c>
      <c r="T264">
        <v>3000</v>
      </c>
      <c r="U264">
        <v>2040</v>
      </c>
      <c r="V264">
        <v>0.40476190476190499</v>
      </c>
      <c r="W264" t="s">
        <v>210</v>
      </c>
    </row>
    <row r="265" spans="1:23">
      <c r="A265">
        <v>10068</v>
      </c>
      <c r="B265">
        <v>45414</v>
      </c>
      <c r="C265">
        <v>45414</v>
      </c>
      <c r="D265" t="s">
        <v>98</v>
      </c>
      <c r="E265" t="s">
        <v>74</v>
      </c>
      <c r="F265" t="s">
        <v>149</v>
      </c>
      <c r="G265" t="s">
        <v>62</v>
      </c>
      <c r="H265" t="s">
        <v>21</v>
      </c>
      <c r="I265" t="s">
        <v>22</v>
      </c>
      <c r="J265" t="s">
        <v>22</v>
      </c>
      <c r="K265">
        <v>15</v>
      </c>
      <c r="L265">
        <v>15</v>
      </c>
      <c r="M265">
        <v>2350</v>
      </c>
      <c r="N265">
        <v>2350</v>
      </c>
      <c r="P265">
        <v>15</v>
      </c>
      <c r="Q265">
        <v>1500</v>
      </c>
      <c r="R265" t="s">
        <v>199</v>
      </c>
      <c r="S265">
        <v>35250</v>
      </c>
      <c r="T265">
        <v>22500</v>
      </c>
      <c r="U265">
        <v>12750</v>
      </c>
      <c r="V265">
        <v>0.36170212765957399</v>
      </c>
      <c r="W265" t="s">
        <v>213</v>
      </c>
    </row>
    <row r="266" spans="1:23">
      <c r="A266">
        <v>10278</v>
      </c>
      <c r="B266" t="s">
        <v>169</v>
      </c>
      <c r="C266">
        <v>45370</v>
      </c>
      <c r="D266" t="s">
        <v>40</v>
      </c>
      <c r="E266" t="s">
        <v>40</v>
      </c>
      <c r="F266" t="s">
        <v>46</v>
      </c>
      <c r="G266" t="s">
        <v>46</v>
      </c>
      <c r="H266" t="s">
        <v>30</v>
      </c>
      <c r="I266" t="s">
        <v>31</v>
      </c>
      <c r="J266" t="s">
        <v>208</v>
      </c>
      <c r="K266">
        <v>15</v>
      </c>
      <c r="L266">
        <v>15</v>
      </c>
      <c r="M266">
        <v>1700</v>
      </c>
      <c r="N266">
        <v>1700</v>
      </c>
      <c r="P266">
        <v>15</v>
      </c>
      <c r="Q266">
        <v>1100</v>
      </c>
      <c r="R266" t="s">
        <v>202</v>
      </c>
      <c r="S266">
        <v>25500</v>
      </c>
      <c r="T266">
        <v>16500</v>
      </c>
      <c r="U266">
        <v>9000</v>
      </c>
      <c r="V266">
        <v>0.35294117647058798</v>
      </c>
      <c r="W266" t="s">
        <v>211</v>
      </c>
    </row>
    <row r="267" spans="1:23">
      <c r="A267">
        <v>10230</v>
      </c>
      <c r="B267">
        <v>45296</v>
      </c>
      <c r="C267">
        <v>45296</v>
      </c>
      <c r="D267" t="s">
        <v>41</v>
      </c>
      <c r="E267" t="s">
        <v>41</v>
      </c>
      <c r="F267" t="s">
        <v>149</v>
      </c>
      <c r="G267" t="s">
        <v>62</v>
      </c>
      <c r="H267" t="s">
        <v>21</v>
      </c>
      <c r="I267" t="s">
        <v>22</v>
      </c>
      <c r="J267" t="s">
        <v>22</v>
      </c>
      <c r="K267">
        <v>6</v>
      </c>
      <c r="L267">
        <v>6</v>
      </c>
      <c r="M267">
        <v>2300</v>
      </c>
      <c r="N267">
        <v>2300</v>
      </c>
      <c r="P267">
        <v>6</v>
      </c>
      <c r="Q267">
        <v>1500</v>
      </c>
      <c r="R267" t="s">
        <v>199</v>
      </c>
      <c r="S267">
        <v>13800</v>
      </c>
      <c r="T267">
        <v>9000</v>
      </c>
      <c r="U267">
        <v>4800</v>
      </c>
      <c r="V267">
        <v>0.34782608695652201</v>
      </c>
      <c r="W267" t="s">
        <v>209</v>
      </c>
    </row>
    <row r="268" spans="1:23">
      <c r="A268">
        <v>10169</v>
      </c>
      <c r="B268">
        <v>45343</v>
      </c>
      <c r="C268">
        <v>45343</v>
      </c>
      <c r="D268" t="s">
        <v>35</v>
      </c>
      <c r="E268" t="s">
        <v>35</v>
      </c>
      <c r="F268" t="s">
        <v>48</v>
      </c>
      <c r="G268" t="s">
        <v>48</v>
      </c>
      <c r="H268" t="s">
        <v>50</v>
      </c>
      <c r="I268" t="s">
        <v>51</v>
      </c>
      <c r="J268" t="s">
        <v>254</v>
      </c>
      <c r="K268">
        <v>1</v>
      </c>
      <c r="L268">
        <v>1</v>
      </c>
      <c r="M268">
        <v>1400</v>
      </c>
      <c r="N268">
        <v>1400</v>
      </c>
      <c r="P268">
        <v>1</v>
      </c>
      <c r="Q268">
        <v>900</v>
      </c>
      <c r="R268" t="s">
        <v>200</v>
      </c>
      <c r="S268">
        <v>1400</v>
      </c>
      <c r="T268">
        <v>900</v>
      </c>
      <c r="U268">
        <v>500</v>
      </c>
      <c r="V268">
        <v>0.35714285714285698</v>
      </c>
      <c r="W268" t="s">
        <v>210</v>
      </c>
    </row>
    <row r="269" spans="1:23">
      <c r="A269">
        <v>10160</v>
      </c>
      <c r="B269">
        <v>45349</v>
      </c>
      <c r="C269">
        <v>45349</v>
      </c>
      <c r="D269" t="s">
        <v>152</v>
      </c>
      <c r="E269" t="s">
        <v>41</v>
      </c>
      <c r="F269" t="s">
        <v>14</v>
      </c>
      <c r="G269" t="s">
        <v>14</v>
      </c>
      <c r="H269" t="s">
        <v>25</v>
      </c>
      <c r="I269" t="s">
        <v>26</v>
      </c>
      <c r="J269" t="s">
        <v>26</v>
      </c>
      <c r="K269">
        <v>12</v>
      </c>
      <c r="L269">
        <v>12</v>
      </c>
      <c r="M269">
        <v>470</v>
      </c>
      <c r="N269">
        <v>470</v>
      </c>
      <c r="P269">
        <v>12</v>
      </c>
      <c r="Q269">
        <v>250</v>
      </c>
      <c r="R269" t="s">
        <v>199</v>
      </c>
      <c r="S269">
        <v>5640</v>
      </c>
      <c r="T269">
        <v>3000</v>
      </c>
      <c r="U269">
        <v>2640</v>
      </c>
      <c r="V269">
        <v>0.46808510638297901</v>
      </c>
      <c r="W269" t="s">
        <v>210</v>
      </c>
    </row>
    <row r="270" spans="1:23">
      <c r="A270">
        <v>10219</v>
      </c>
      <c r="B270">
        <v>45303</v>
      </c>
      <c r="C270">
        <v>45303</v>
      </c>
      <c r="D270" t="s">
        <v>35</v>
      </c>
      <c r="E270" t="s">
        <v>35</v>
      </c>
      <c r="F270" t="s">
        <v>81</v>
      </c>
      <c r="G270" t="s">
        <v>81</v>
      </c>
      <c r="H270" t="s">
        <v>30</v>
      </c>
      <c r="I270" t="s">
        <v>31</v>
      </c>
      <c r="J270" t="s">
        <v>208</v>
      </c>
      <c r="K270">
        <v>1</v>
      </c>
      <c r="L270">
        <v>1</v>
      </c>
      <c r="M270">
        <v>1750</v>
      </c>
      <c r="N270">
        <v>1750</v>
      </c>
      <c r="P270">
        <v>1</v>
      </c>
      <c r="Q270">
        <v>1100</v>
      </c>
      <c r="R270" t="s">
        <v>202</v>
      </c>
      <c r="S270">
        <v>1750</v>
      </c>
      <c r="T270">
        <v>1100</v>
      </c>
      <c r="U270">
        <v>650</v>
      </c>
      <c r="V270">
        <v>0.371428571428571</v>
      </c>
      <c r="W270" t="s">
        <v>209</v>
      </c>
    </row>
    <row r="271" spans="1:23">
      <c r="A271">
        <v>10079</v>
      </c>
      <c r="B271">
        <v>45348</v>
      </c>
      <c r="C271">
        <v>45348</v>
      </c>
      <c r="D271" t="s">
        <v>74</v>
      </c>
      <c r="E271" t="s">
        <v>74</v>
      </c>
      <c r="F271" t="s">
        <v>16</v>
      </c>
      <c r="G271" t="s">
        <v>16</v>
      </c>
      <c r="H271" t="s">
        <v>25</v>
      </c>
      <c r="I271" t="s">
        <v>97</v>
      </c>
      <c r="J271" t="s">
        <v>97</v>
      </c>
      <c r="K271">
        <v>15</v>
      </c>
      <c r="L271">
        <v>15</v>
      </c>
      <c r="M271">
        <v>420</v>
      </c>
      <c r="N271">
        <v>420</v>
      </c>
      <c r="P271">
        <v>15</v>
      </c>
      <c r="Q271">
        <v>250</v>
      </c>
      <c r="R271" t="s">
        <v>199</v>
      </c>
      <c r="S271">
        <v>6300</v>
      </c>
      <c r="T271">
        <v>3750</v>
      </c>
      <c r="U271">
        <v>2550</v>
      </c>
      <c r="V271">
        <v>0.40476190476190499</v>
      </c>
      <c r="W271" t="s">
        <v>210</v>
      </c>
    </row>
    <row r="272" spans="1:23">
      <c r="A272">
        <v>10124</v>
      </c>
      <c r="B272">
        <v>45379</v>
      </c>
      <c r="C272">
        <v>45379</v>
      </c>
      <c r="D272" t="s">
        <v>79</v>
      </c>
      <c r="E272" t="s">
        <v>19</v>
      </c>
      <c r="F272" t="s">
        <v>16</v>
      </c>
      <c r="G272" t="s">
        <v>16</v>
      </c>
      <c r="H272" t="s">
        <v>53</v>
      </c>
      <c r="I272" t="s">
        <v>54</v>
      </c>
      <c r="J272" t="s">
        <v>255</v>
      </c>
      <c r="K272">
        <v>2</v>
      </c>
      <c r="L272">
        <v>2</v>
      </c>
      <c r="M272">
        <v>1000</v>
      </c>
      <c r="N272">
        <v>1000</v>
      </c>
      <c r="P272">
        <v>2</v>
      </c>
      <c r="Q272">
        <v>600</v>
      </c>
      <c r="R272" t="s">
        <v>200</v>
      </c>
      <c r="S272">
        <v>2000</v>
      </c>
      <c r="T272">
        <v>1200</v>
      </c>
      <c r="U272">
        <v>800</v>
      </c>
      <c r="V272">
        <v>0.4</v>
      </c>
      <c r="W272" t="s">
        <v>211</v>
      </c>
    </row>
    <row r="273" spans="1:23">
      <c r="A273">
        <v>10214</v>
      </c>
      <c r="B273">
        <v>45330</v>
      </c>
      <c r="C273">
        <v>45330</v>
      </c>
      <c r="D273" t="s">
        <v>35</v>
      </c>
      <c r="E273" t="s">
        <v>35</v>
      </c>
      <c r="F273" t="s">
        <v>9</v>
      </c>
      <c r="G273" t="s">
        <v>9</v>
      </c>
      <c r="H273" t="s">
        <v>53</v>
      </c>
      <c r="I273" t="s">
        <v>72</v>
      </c>
      <c r="J273" t="s">
        <v>255</v>
      </c>
      <c r="K273">
        <v>8</v>
      </c>
      <c r="L273">
        <v>8</v>
      </c>
      <c r="M273">
        <v>1000</v>
      </c>
      <c r="N273">
        <v>1000</v>
      </c>
      <c r="P273">
        <v>8</v>
      </c>
      <c r="Q273">
        <v>600</v>
      </c>
      <c r="R273" t="s">
        <v>200</v>
      </c>
      <c r="S273">
        <v>8000</v>
      </c>
      <c r="T273">
        <v>4800</v>
      </c>
      <c r="U273">
        <v>3200</v>
      </c>
      <c r="V273">
        <v>0.4</v>
      </c>
      <c r="W273" t="s">
        <v>210</v>
      </c>
    </row>
    <row r="274" spans="1:23">
      <c r="A274">
        <v>10117</v>
      </c>
      <c r="B274" t="s">
        <v>170</v>
      </c>
      <c r="C274">
        <v>45320</v>
      </c>
      <c r="D274" t="s">
        <v>35</v>
      </c>
      <c r="E274" t="s">
        <v>35</v>
      </c>
      <c r="F274" t="s">
        <v>109</v>
      </c>
      <c r="G274" t="s">
        <v>46</v>
      </c>
      <c r="H274" t="s">
        <v>55</v>
      </c>
      <c r="I274" t="s">
        <v>56</v>
      </c>
      <c r="J274" t="s">
        <v>256</v>
      </c>
      <c r="K274">
        <v>2</v>
      </c>
      <c r="L274">
        <v>2</v>
      </c>
      <c r="M274">
        <v>780</v>
      </c>
      <c r="N274">
        <v>780</v>
      </c>
      <c r="P274">
        <v>2</v>
      </c>
      <c r="Q274">
        <v>480</v>
      </c>
      <c r="R274" t="s">
        <v>200</v>
      </c>
      <c r="S274">
        <v>1560</v>
      </c>
      <c r="T274">
        <v>960</v>
      </c>
      <c r="U274">
        <v>600</v>
      </c>
      <c r="V274">
        <v>0.38461538461538503</v>
      </c>
      <c r="W274" t="s">
        <v>209</v>
      </c>
    </row>
    <row r="275" spans="1:23">
      <c r="A275">
        <v>10267</v>
      </c>
      <c r="B275">
        <v>45376</v>
      </c>
      <c r="C275">
        <v>45376</v>
      </c>
      <c r="D275" t="s">
        <v>23</v>
      </c>
      <c r="E275" t="s">
        <v>35</v>
      </c>
      <c r="F275" t="s">
        <v>81</v>
      </c>
      <c r="G275" t="s">
        <v>81</v>
      </c>
      <c r="H275" t="s">
        <v>10</v>
      </c>
      <c r="I275" t="s">
        <v>11</v>
      </c>
      <c r="J275" t="s">
        <v>11</v>
      </c>
      <c r="K275">
        <v>15</v>
      </c>
      <c r="L275">
        <v>15</v>
      </c>
      <c r="M275">
        <v>1400</v>
      </c>
      <c r="N275">
        <v>1400</v>
      </c>
      <c r="P275">
        <v>15</v>
      </c>
      <c r="Q275">
        <v>800</v>
      </c>
      <c r="R275" t="s">
        <v>201</v>
      </c>
      <c r="S275">
        <v>21000</v>
      </c>
      <c r="T275">
        <v>12000</v>
      </c>
      <c r="U275">
        <v>9000</v>
      </c>
      <c r="V275">
        <v>0.42857142857142899</v>
      </c>
      <c r="W275" t="s">
        <v>211</v>
      </c>
    </row>
    <row r="276" spans="1:23">
      <c r="A276">
        <v>10196</v>
      </c>
      <c r="B276">
        <v>45364</v>
      </c>
      <c r="C276">
        <v>45364</v>
      </c>
      <c r="E276" t="s">
        <v>205</v>
      </c>
      <c r="F276" t="s">
        <v>24</v>
      </c>
      <c r="G276" t="s">
        <v>24</v>
      </c>
      <c r="H276" t="s">
        <v>53</v>
      </c>
      <c r="I276" t="s">
        <v>54</v>
      </c>
      <c r="J276" t="s">
        <v>255</v>
      </c>
      <c r="K276">
        <v>5</v>
      </c>
      <c r="L276">
        <v>5</v>
      </c>
      <c r="M276">
        <v>900</v>
      </c>
      <c r="N276">
        <v>900</v>
      </c>
      <c r="P276">
        <v>5</v>
      </c>
      <c r="Q276">
        <v>600</v>
      </c>
      <c r="R276" t="s">
        <v>200</v>
      </c>
      <c r="S276">
        <v>4500</v>
      </c>
      <c r="T276">
        <v>3000</v>
      </c>
      <c r="U276">
        <v>1500</v>
      </c>
      <c r="V276">
        <v>0.33333333333333298</v>
      </c>
      <c r="W276" t="s">
        <v>211</v>
      </c>
    </row>
    <row r="277" spans="1:23">
      <c r="A277">
        <v>10045</v>
      </c>
      <c r="B277">
        <v>45353</v>
      </c>
      <c r="C277">
        <v>45353</v>
      </c>
      <c r="D277" t="s">
        <v>95</v>
      </c>
      <c r="E277" t="s">
        <v>35</v>
      </c>
      <c r="F277" t="s">
        <v>46</v>
      </c>
      <c r="G277" t="s">
        <v>46</v>
      </c>
      <c r="H277" t="s">
        <v>21</v>
      </c>
      <c r="I277" t="s">
        <v>22</v>
      </c>
      <c r="J277" t="s">
        <v>22</v>
      </c>
      <c r="K277">
        <v>15</v>
      </c>
      <c r="L277">
        <v>15</v>
      </c>
      <c r="M277">
        <v>2300</v>
      </c>
      <c r="N277">
        <v>2300</v>
      </c>
      <c r="P277">
        <v>15</v>
      </c>
      <c r="Q277">
        <v>1500</v>
      </c>
      <c r="R277" t="s">
        <v>199</v>
      </c>
      <c r="S277">
        <v>34500</v>
      </c>
      <c r="T277">
        <v>22500</v>
      </c>
      <c r="U277">
        <v>12000</v>
      </c>
      <c r="V277">
        <v>0.34782608695652201</v>
      </c>
      <c r="W277" t="s">
        <v>211</v>
      </c>
    </row>
    <row r="278" spans="1:23">
      <c r="A278">
        <v>10071</v>
      </c>
      <c r="B278" t="s">
        <v>171</v>
      </c>
      <c r="C278">
        <v>45378</v>
      </c>
      <c r="D278" t="s">
        <v>45</v>
      </c>
      <c r="E278" t="s">
        <v>40</v>
      </c>
      <c r="F278" t="s">
        <v>48</v>
      </c>
      <c r="G278" t="s">
        <v>48</v>
      </c>
      <c r="H278" t="s">
        <v>55</v>
      </c>
      <c r="I278" t="s">
        <v>56</v>
      </c>
      <c r="J278" t="s">
        <v>256</v>
      </c>
      <c r="K278">
        <v>12</v>
      </c>
      <c r="L278">
        <v>12</v>
      </c>
      <c r="M278">
        <v>780</v>
      </c>
      <c r="N278">
        <v>780</v>
      </c>
      <c r="P278">
        <v>12</v>
      </c>
      <c r="Q278">
        <v>480</v>
      </c>
      <c r="R278" t="s">
        <v>200</v>
      </c>
      <c r="S278">
        <v>9360</v>
      </c>
      <c r="T278">
        <v>5760</v>
      </c>
      <c r="U278">
        <v>3600</v>
      </c>
      <c r="V278">
        <v>0.38461538461538503</v>
      </c>
      <c r="W278" t="s">
        <v>211</v>
      </c>
    </row>
    <row r="279" spans="1:23">
      <c r="A279">
        <v>10310</v>
      </c>
      <c r="B279">
        <v>45302</v>
      </c>
      <c r="C279">
        <v>45302</v>
      </c>
      <c r="D279" t="s">
        <v>152</v>
      </c>
      <c r="E279" t="s">
        <v>41</v>
      </c>
      <c r="F279" t="s">
        <v>46</v>
      </c>
      <c r="G279" t="s">
        <v>46</v>
      </c>
      <c r="H279" t="s">
        <v>38</v>
      </c>
      <c r="I279" t="s">
        <v>39</v>
      </c>
      <c r="J279" t="s">
        <v>252</v>
      </c>
      <c r="K279">
        <v>20</v>
      </c>
      <c r="L279">
        <v>20</v>
      </c>
      <c r="M279">
        <v>500</v>
      </c>
      <c r="N279">
        <v>500</v>
      </c>
      <c r="P279">
        <v>20</v>
      </c>
      <c r="Q279">
        <v>300</v>
      </c>
      <c r="R279" t="s">
        <v>200</v>
      </c>
      <c r="S279">
        <v>10000</v>
      </c>
      <c r="T279">
        <v>6000</v>
      </c>
      <c r="U279">
        <v>4000</v>
      </c>
      <c r="V279">
        <v>0.4</v>
      </c>
      <c r="W279" t="s">
        <v>209</v>
      </c>
    </row>
    <row r="280" spans="1:23">
      <c r="A280">
        <v>10175</v>
      </c>
      <c r="B280">
        <v>45367</v>
      </c>
      <c r="C280">
        <v>45367</v>
      </c>
      <c r="D280" t="s">
        <v>74</v>
      </c>
      <c r="E280" t="s">
        <v>74</v>
      </c>
      <c r="F280" t="s">
        <v>104</v>
      </c>
      <c r="G280" t="s">
        <v>9</v>
      </c>
      <c r="H280" t="s">
        <v>25</v>
      </c>
      <c r="I280" t="s">
        <v>97</v>
      </c>
      <c r="J280" t="s">
        <v>97</v>
      </c>
      <c r="K280">
        <v>2</v>
      </c>
      <c r="L280">
        <v>2</v>
      </c>
      <c r="M280">
        <v>420</v>
      </c>
      <c r="N280">
        <v>420</v>
      </c>
      <c r="P280">
        <v>2</v>
      </c>
      <c r="Q280">
        <v>250</v>
      </c>
      <c r="R280" t="s">
        <v>199</v>
      </c>
      <c r="S280">
        <v>840</v>
      </c>
      <c r="T280">
        <v>500</v>
      </c>
      <c r="U280">
        <v>340</v>
      </c>
      <c r="V280">
        <v>0.40476190476190499</v>
      </c>
      <c r="W280" t="s">
        <v>211</v>
      </c>
    </row>
    <row r="281" spans="1:23">
      <c r="A281">
        <v>10078</v>
      </c>
      <c r="B281">
        <v>45305</v>
      </c>
      <c r="C281">
        <v>45305</v>
      </c>
      <c r="D281" t="s">
        <v>41</v>
      </c>
      <c r="E281" t="s">
        <v>41</v>
      </c>
      <c r="F281" t="s">
        <v>14</v>
      </c>
      <c r="G281" t="s">
        <v>14</v>
      </c>
      <c r="H281" t="s">
        <v>90</v>
      </c>
      <c r="I281" t="s">
        <v>144</v>
      </c>
      <c r="J281" t="s">
        <v>96</v>
      </c>
      <c r="K281">
        <v>1</v>
      </c>
      <c r="L281">
        <v>1</v>
      </c>
      <c r="M281">
        <v>5300</v>
      </c>
      <c r="N281">
        <v>5300</v>
      </c>
      <c r="P281">
        <v>1</v>
      </c>
      <c r="Q281">
        <v>3500</v>
      </c>
      <c r="R281" t="s">
        <v>202</v>
      </c>
      <c r="S281">
        <v>5300</v>
      </c>
      <c r="T281">
        <v>3500</v>
      </c>
      <c r="U281">
        <v>1800</v>
      </c>
      <c r="V281">
        <v>0.339622641509434</v>
      </c>
      <c r="W281" t="s">
        <v>209</v>
      </c>
    </row>
    <row r="282" spans="1:23">
      <c r="A282">
        <v>10116</v>
      </c>
      <c r="B282">
        <v>45351</v>
      </c>
      <c r="C282">
        <v>45351</v>
      </c>
      <c r="D282" t="s">
        <v>40</v>
      </c>
      <c r="E282" t="s">
        <v>40</v>
      </c>
      <c r="F282" t="s">
        <v>64</v>
      </c>
      <c r="G282" t="s">
        <v>24</v>
      </c>
      <c r="H282" t="s">
        <v>53</v>
      </c>
      <c r="I282" t="s">
        <v>72</v>
      </c>
      <c r="J282" t="s">
        <v>255</v>
      </c>
      <c r="K282">
        <v>12</v>
      </c>
      <c r="L282">
        <v>12</v>
      </c>
      <c r="M282">
        <v>1050</v>
      </c>
      <c r="N282">
        <v>1050</v>
      </c>
      <c r="P282">
        <v>12</v>
      </c>
      <c r="Q282">
        <v>600</v>
      </c>
      <c r="R282" t="s">
        <v>200</v>
      </c>
      <c r="S282">
        <v>12600</v>
      </c>
      <c r="T282">
        <v>7200</v>
      </c>
      <c r="U282">
        <v>5400</v>
      </c>
      <c r="V282">
        <v>0.42857142857142899</v>
      </c>
      <c r="W282" t="s">
        <v>210</v>
      </c>
    </row>
    <row r="283" spans="1:23">
      <c r="A283">
        <v>10144</v>
      </c>
      <c r="B283">
        <v>45414</v>
      </c>
      <c r="C283">
        <v>45414</v>
      </c>
      <c r="D283" t="s">
        <v>15</v>
      </c>
      <c r="E283" t="s">
        <v>15</v>
      </c>
      <c r="F283" t="s">
        <v>139</v>
      </c>
      <c r="G283" t="s">
        <v>16</v>
      </c>
      <c r="H283" t="s">
        <v>17</v>
      </c>
      <c r="I283" t="s">
        <v>18</v>
      </c>
      <c r="J283" t="s">
        <v>18</v>
      </c>
      <c r="K283">
        <v>20</v>
      </c>
      <c r="L283">
        <v>20</v>
      </c>
      <c r="M283">
        <v>600</v>
      </c>
      <c r="N283">
        <v>600</v>
      </c>
      <c r="P283">
        <v>20</v>
      </c>
      <c r="Q283">
        <v>350</v>
      </c>
      <c r="R283" t="s">
        <v>199</v>
      </c>
      <c r="S283">
        <v>12000</v>
      </c>
      <c r="T283">
        <v>7000</v>
      </c>
      <c r="U283">
        <v>5000</v>
      </c>
      <c r="V283">
        <v>0.41666666666666702</v>
      </c>
      <c r="W283" t="s">
        <v>213</v>
      </c>
    </row>
    <row r="284" spans="1:23">
      <c r="A284">
        <v>10285</v>
      </c>
      <c r="B284">
        <v>45337</v>
      </c>
      <c r="C284">
        <v>45337</v>
      </c>
      <c r="D284" t="s">
        <v>162</v>
      </c>
      <c r="E284" t="s">
        <v>35</v>
      </c>
      <c r="F284" t="s">
        <v>84</v>
      </c>
      <c r="G284" t="s">
        <v>81</v>
      </c>
      <c r="H284" t="s">
        <v>10</v>
      </c>
      <c r="I284" t="s">
        <v>11</v>
      </c>
      <c r="J284" t="s">
        <v>11</v>
      </c>
      <c r="L284">
        <v>0</v>
      </c>
      <c r="M284">
        <v>1400</v>
      </c>
      <c r="N284">
        <v>1400</v>
      </c>
      <c r="P284">
        <v>0</v>
      </c>
      <c r="Q284">
        <v>800</v>
      </c>
      <c r="R284" t="s">
        <v>201</v>
      </c>
      <c r="S284">
        <v>0</v>
      </c>
      <c r="T284">
        <v>0</v>
      </c>
      <c r="U284">
        <v>0</v>
      </c>
      <c r="V284">
        <v>0</v>
      </c>
      <c r="W284" t="s">
        <v>210</v>
      </c>
    </row>
    <row r="285" spans="1:23">
      <c r="A285">
        <v>10016</v>
      </c>
      <c r="B285">
        <v>45361</v>
      </c>
      <c r="C285">
        <v>45361</v>
      </c>
      <c r="D285" t="s">
        <v>74</v>
      </c>
      <c r="E285" t="s">
        <v>74</v>
      </c>
      <c r="F285" t="s">
        <v>134</v>
      </c>
      <c r="G285" t="s">
        <v>16</v>
      </c>
      <c r="H285" t="s">
        <v>21</v>
      </c>
      <c r="I285" t="s">
        <v>22</v>
      </c>
      <c r="J285" t="s">
        <v>22</v>
      </c>
      <c r="K285">
        <v>4</v>
      </c>
      <c r="L285">
        <v>4</v>
      </c>
      <c r="M285">
        <v>2300</v>
      </c>
      <c r="N285">
        <v>2300</v>
      </c>
      <c r="P285">
        <v>4</v>
      </c>
      <c r="Q285">
        <v>1500</v>
      </c>
      <c r="R285" t="s">
        <v>199</v>
      </c>
      <c r="S285">
        <v>9200</v>
      </c>
      <c r="T285">
        <v>6000</v>
      </c>
      <c r="U285">
        <v>3200</v>
      </c>
      <c r="V285">
        <v>0.34782608695652201</v>
      </c>
      <c r="W285" t="s">
        <v>211</v>
      </c>
    </row>
    <row r="286" spans="1:23">
      <c r="A286">
        <v>10338</v>
      </c>
      <c r="B286">
        <v>45629</v>
      </c>
      <c r="C286">
        <v>45629</v>
      </c>
      <c r="D286" t="s">
        <v>15</v>
      </c>
      <c r="E286" t="s">
        <v>15</v>
      </c>
      <c r="F286" t="s">
        <v>81</v>
      </c>
      <c r="G286" t="s">
        <v>81</v>
      </c>
      <c r="H286" t="s">
        <v>65</v>
      </c>
      <c r="I286" t="s">
        <v>73</v>
      </c>
      <c r="J286" t="s">
        <v>73</v>
      </c>
      <c r="K286">
        <v>20</v>
      </c>
      <c r="L286">
        <v>20</v>
      </c>
      <c r="M286">
        <v>750</v>
      </c>
      <c r="N286">
        <v>750</v>
      </c>
      <c r="P286">
        <v>20</v>
      </c>
      <c r="Q286">
        <v>400</v>
      </c>
      <c r="R286" t="s">
        <v>199</v>
      </c>
      <c r="S286">
        <v>15000</v>
      </c>
      <c r="T286">
        <v>8000</v>
      </c>
      <c r="U286">
        <v>7000</v>
      </c>
      <c r="V286">
        <v>0.46666666666666701</v>
      </c>
      <c r="W286" t="s">
        <v>220</v>
      </c>
    </row>
    <row r="287" spans="1:23">
      <c r="A287">
        <v>10132</v>
      </c>
      <c r="B287">
        <v>45305</v>
      </c>
      <c r="C287">
        <v>45305</v>
      </c>
      <c r="D287" t="s">
        <v>59</v>
      </c>
      <c r="E287" t="s">
        <v>19</v>
      </c>
      <c r="F287" t="s">
        <v>14</v>
      </c>
      <c r="G287" t="s">
        <v>14</v>
      </c>
      <c r="H287" t="s">
        <v>77</v>
      </c>
      <c r="I287" t="s">
        <v>78</v>
      </c>
      <c r="J287" t="s">
        <v>207</v>
      </c>
      <c r="K287">
        <v>1</v>
      </c>
      <c r="L287">
        <v>1</v>
      </c>
      <c r="M287">
        <v>1950</v>
      </c>
      <c r="N287">
        <v>1950</v>
      </c>
      <c r="P287">
        <v>1</v>
      </c>
      <c r="Q287">
        <v>1200</v>
      </c>
      <c r="R287" t="s">
        <v>201</v>
      </c>
      <c r="S287">
        <v>1950</v>
      </c>
      <c r="T287">
        <v>1200</v>
      </c>
      <c r="U287">
        <v>750</v>
      </c>
      <c r="V287">
        <v>0.38461538461538503</v>
      </c>
      <c r="W287" t="s">
        <v>209</v>
      </c>
    </row>
    <row r="288" spans="1:23">
      <c r="A288">
        <v>10032</v>
      </c>
      <c r="B288">
        <v>45381</v>
      </c>
      <c r="C288">
        <v>45381</v>
      </c>
      <c r="D288" t="s">
        <v>41</v>
      </c>
      <c r="E288" t="s">
        <v>41</v>
      </c>
      <c r="F288" t="s">
        <v>81</v>
      </c>
      <c r="G288" t="s">
        <v>81</v>
      </c>
      <c r="H288" t="s">
        <v>65</v>
      </c>
      <c r="I288" t="s">
        <v>73</v>
      </c>
      <c r="J288" t="s">
        <v>73</v>
      </c>
      <c r="K288">
        <v>4</v>
      </c>
      <c r="L288">
        <v>4</v>
      </c>
      <c r="N288">
        <v>0</v>
      </c>
      <c r="P288">
        <v>4</v>
      </c>
      <c r="Q288">
        <v>400</v>
      </c>
      <c r="R288" t="s">
        <v>199</v>
      </c>
      <c r="S288">
        <v>0</v>
      </c>
      <c r="T288">
        <v>1600</v>
      </c>
      <c r="U288">
        <v>-1600</v>
      </c>
      <c r="V288">
        <v>0</v>
      </c>
      <c r="W288" t="s">
        <v>211</v>
      </c>
    </row>
    <row r="289" spans="1:23">
      <c r="A289">
        <v>10142</v>
      </c>
      <c r="B289" t="s">
        <v>164</v>
      </c>
      <c r="C289">
        <v>45374</v>
      </c>
      <c r="D289" t="s">
        <v>40</v>
      </c>
      <c r="E289" t="s">
        <v>40</v>
      </c>
      <c r="F289" t="s">
        <v>48</v>
      </c>
      <c r="G289" t="s">
        <v>48</v>
      </c>
      <c r="H289" t="s">
        <v>25</v>
      </c>
      <c r="I289" t="s">
        <v>97</v>
      </c>
      <c r="J289" t="s">
        <v>97</v>
      </c>
      <c r="K289">
        <v>8</v>
      </c>
      <c r="L289">
        <v>8</v>
      </c>
      <c r="M289">
        <v>470</v>
      </c>
      <c r="N289">
        <v>470</v>
      </c>
      <c r="P289">
        <v>8</v>
      </c>
      <c r="Q289">
        <v>250</v>
      </c>
      <c r="R289" t="s">
        <v>199</v>
      </c>
      <c r="S289">
        <v>3760</v>
      </c>
      <c r="T289">
        <v>2000</v>
      </c>
      <c r="U289">
        <v>1760</v>
      </c>
      <c r="V289">
        <v>0.46808510638297901</v>
      </c>
      <c r="W289" t="s">
        <v>211</v>
      </c>
    </row>
    <row r="290" spans="1:23">
      <c r="A290">
        <v>10320</v>
      </c>
      <c r="B290">
        <v>45293</v>
      </c>
      <c r="C290">
        <v>45293</v>
      </c>
      <c r="D290" t="s">
        <v>74</v>
      </c>
      <c r="E290" t="s">
        <v>74</v>
      </c>
      <c r="F290" t="s">
        <v>14</v>
      </c>
      <c r="G290" t="s">
        <v>14</v>
      </c>
      <c r="H290" t="s">
        <v>65</v>
      </c>
      <c r="I290" t="s">
        <v>73</v>
      </c>
      <c r="J290" t="s">
        <v>73</v>
      </c>
      <c r="K290">
        <v>10</v>
      </c>
      <c r="L290">
        <v>10</v>
      </c>
      <c r="M290">
        <v>650</v>
      </c>
      <c r="N290">
        <v>650</v>
      </c>
      <c r="P290">
        <v>10</v>
      </c>
      <c r="Q290">
        <v>400</v>
      </c>
      <c r="R290" t="s">
        <v>199</v>
      </c>
      <c r="S290">
        <v>6500</v>
      </c>
      <c r="T290">
        <v>4000</v>
      </c>
      <c r="U290">
        <v>2500</v>
      </c>
      <c r="V290">
        <v>0.38461538461538503</v>
      </c>
      <c r="W290" t="s">
        <v>209</v>
      </c>
    </row>
    <row r="291" spans="1:23">
      <c r="A291">
        <v>10121</v>
      </c>
      <c r="B291">
        <v>45341</v>
      </c>
      <c r="C291">
        <v>45341</v>
      </c>
      <c r="D291" t="s">
        <v>145</v>
      </c>
      <c r="E291" t="s">
        <v>19</v>
      </c>
      <c r="F291" t="s">
        <v>48</v>
      </c>
      <c r="G291" t="s">
        <v>48</v>
      </c>
      <c r="H291" t="s">
        <v>77</v>
      </c>
      <c r="I291" t="s">
        <v>172</v>
      </c>
      <c r="J291" t="s">
        <v>207</v>
      </c>
      <c r="K291">
        <v>3</v>
      </c>
      <c r="L291">
        <v>3</v>
      </c>
      <c r="M291">
        <v>1850</v>
      </c>
      <c r="N291">
        <v>1850</v>
      </c>
      <c r="P291">
        <v>3</v>
      </c>
      <c r="Q291">
        <v>1200</v>
      </c>
      <c r="R291" t="s">
        <v>201</v>
      </c>
      <c r="S291">
        <v>5550</v>
      </c>
      <c r="T291">
        <v>3600</v>
      </c>
      <c r="U291">
        <v>1950</v>
      </c>
      <c r="V291">
        <v>0.35135135135135098</v>
      </c>
      <c r="W291" t="s">
        <v>210</v>
      </c>
    </row>
    <row r="292" spans="1:23">
      <c r="A292">
        <v>10155</v>
      </c>
      <c r="B292">
        <v>45314</v>
      </c>
      <c r="C292">
        <v>45314</v>
      </c>
      <c r="D292" t="s">
        <v>58</v>
      </c>
      <c r="E292" t="s">
        <v>74</v>
      </c>
      <c r="F292" t="s">
        <v>16</v>
      </c>
      <c r="G292" t="s">
        <v>16</v>
      </c>
      <c r="H292" t="s">
        <v>111</v>
      </c>
      <c r="I292" t="s">
        <v>112</v>
      </c>
      <c r="J292" t="s">
        <v>112</v>
      </c>
      <c r="K292">
        <v>3</v>
      </c>
      <c r="L292">
        <v>3</v>
      </c>
      <c r="M292">
        <v>900</v>
      </c>
      <c r="N292">
        <v>900</v>
      </c>
      <c r="P292">
        <v>3</v>
      </c>
      <c r="Q292">
        <v>550</v>
      </c>
      <c r="R292" t="s">
        <v>201</v>
      </c>
      <c r="S292">
        <v>2700</v>
      </c>
      <c r="T292">
        <v>1650</v>
      </c>
      <c r="U292">
        <v>1050</v>
      </c>
      <c r="V292">
        <v>0.38888888888888901</v>
      </c>
      <c r="W292" t="s">
        <v>209</v>
      </c>
    </row>
    <row r="293" spans="1:23">
      <c r="A293">
        <v>10182</v>
      </c>
      <c r="B293">
        <v>45354</v>
      </c>
      <c r="C293">
        <v>45354</v>
      </c>
      <c r="D293" t="s">
        <v>106</v>
      </c>
      <c r="E293" t="s">
        <v>15</v>
      </c>
      <c r="F293" t="s">
        <v>46</v>
      </c>
      <c r="G293" t="s">
        <v>46</v>
      </c>
      <c r="H293" t="s">
        <v>33</v>
      </c>
      <c r="I293" t="s">
        <v>60</v>
      </c>
      <c r="J293" t="s">
        <v>251</v>
      </c>
      <c r="K293">
        <v>8</v>
      </c>
      <c r="L293">
        <v>8</v>
      </c>
      <c r="M293">
        <v>750</v>
      </c>
      <c r="N293">
        <v>750</v>
      </c>
      <c r="P293">
        <v>8</v>
      </c>
      <c r="Q293">
        <v>450</v>
      </c>
      <c r="R293" t="s">
        <v>202</v>
      </c>
      <c r="S293">
        <v>6000</v>
      </c>
      <c r="T293">
        <v>3600</v>
      </c>
      <c r="U293">
        <v>2400</v>
      </c>
      <c r="V293">
        <v>0.4</v>
      </c>
      <c r="W293" t="s">
        <v>211</v>
      </c>
    </row>
    <row r="294" spans="1:23">
      <c r="A294">
        <v>10181</v>
      </c>
      <c r="B294">
        <v>45365</v>
      </c>
      <c r="C294">
        <v>45365</v>
      </c>
      <c r="D294" t="s">
        <v>35</v>
      </c>
      <c r="E294" t="s">
        <v>35</v>
      </c>
      <c r="F294" t="s">
        <v>16</v>
      </c>
      <c r="G294" t="s">
        <v>16</v>
      </c>
      <c r="H294" t="s">
        <v>53</v>
      </c>
      <c r="I294" t="s">
        <v>72</v>
      </c>
      <c r="J294" t="s">
        <v>255</v>
      </c>
      <c r="K294">
        <v>8</v>
      </c>
      <c r="L294">
        <v>8</v>
      </c>
      <c r="M294">
        <v>900</v>
      </c>
      <c r="N294">
        <v>900</v>
      </c>
      <c r="P294">
        <v>8</v>
      </c>
      <c r="Q294">
        <v>600</v>
      </c>
      <c r="R294" t="s">
        <v>200</v>
      </c>
      <c r="S294">
        <v>7200</v>
      </c>
      <c r="T294">
        <v>4800</v>
      </c>
      <c r="U294">
        <v>2400</v>
      </c>
      <c r="V294">
        <v>0.33333333333333298</v>
      </c>
      <c r="W294" t="s">
        <v>211</v>
      </c>
    </row>
    <row r="295" spans="1:23">
      <c r="A295">
        <v>10178</v>
      </c>
      <c r="B295">
        <v>45350</v>
      </c>
      <c r="C295">
        <v>45350</v>
      </c>
      <c r="D295" t="s">
        <v>19</v>
      </c>
      <c r="E295" t="s">
        <v>19</v>
      </c>
      <c r="F295" t="s">
        <v>81</v>
      </c>
      <c r="G295" t="s">
        <v>81</v>
      </c>
      <c r="H295" t="s">
        <v>111</v>
      </c>
      <c r="I295" t="s">
        <v>112</v>
      </c>
      <c r="J295" t="s">
        <v>112</v>
      </c>
      <c r="K295">
        <v>12</v>
      </c>
      <c r="L295">
        <v>12</v>
      </c>
      <c r="M295">
        <v>850</v>
      </c>
      <c r="N295">
        <v>850</v>
      </c>
      <c r="P295">
        <v>12</v>
      </c>
      <c r="Q295">
        <v>550</v>
      </c>
      <c r="R295" t="s">
        <v>201</v>
      </c>
      <c r="S295">
        <v>10200</v>
      </c>
      <c r="T295">
        <v>6600</v>
      </c>
      <c r="U295">
        <v>3600</v>
      </c>
      <c r="V295">
        <v>0.35294117647058798</v>
      </c>
      <c r="W295" t="s">
        <v>210</v>
      </c>
    </row>
    <row r="296" spans="1:23">
      <c r="A296">
        <v>10334</v>
      </c>
      <c r="B296">
        <v>45330</v>
      </c>
      <c r="C296">
        <v>45330</v>
      </c>
      <c r="D296" t="s">
        <v>74</v>
      </c>
      <c r="E296" t="s">
        <v>74</v>
      </c>
      <c r="F296" t="s">
        <v>48</v>
      </c>
      <c r="G296" t="s">
        <v>48</v>
      </c>
      <c r="H296" t="s">
        <v>90</v>
      </c>
      <c r="I296" t="s">
        <v>144</v>
      </c>
      <c r="J296" t="s">
        <v>96</v>
      </c>
      <c r="K296">
        <v>4</v>
      </c>
      <c r="L296">
        <v>4</v>
      </c>
      <c r="M296">
        <v>5150</v>
      </c>
      <c r="N296">
        <v>5150</v>
      </c>
      <c r="P296">
        <v>4</v>
      </c>
      <c r="Q296">
        <v>3500</v>
      </c>
      <c r="R296" t="s">
        <v>202</v>
      </c>
      <c r="S296">
        <v>20600</v>
      </c>
      <c r="T296">
        <v>14000</v>
      </c>
      <c r="U296">
        <v>6600</v>
      </c>
      <c r="V296">
        <v>0.32038834951456302</v>
      </c>
      <c r="W296" t="s">
        <v>210</v>
      </c>
    </row>
    <row r="297" spans="1:23">
      <c r="A297">
        <v>10081</v>
      </c>
      <c r="B297" t="s">
        <v>174</v>
      </c>
      <c r="C297">
        <v>45377</v>
      </c>
      <c r="D297" t="s">
        <v>35</v>
      </c>
      <c r="E297" t="s">
        <v>35</v>
      </c>
      <c r="F297" t="s">
        <v>24</v>
      </c>
      <c r="G297" t="s">
        <v>24</v>
      </c>
      <c r="H297" t="s">
        <v>53</v>
      </c>
      <c r="I297" t="s">
        <v>72</v>
      </c>
      <c r="J297" t="s">
        <v>255</v>
      </c>
      <c r="K297">
        <v>20</v>
      </c>
      <c r="L297">
        <v>20</v>
      </c>
      <c r="M297">
        <v>1000</v>
      </c>
      <c r="N297">
        <v>1000</v>
      </c>
      <c r="P297">
        <v>20</v>
      </c>
      <c r="Q297">
        <v>600</v>
      </c>
      <c r="R297" t="s">
        <v>200</v>
      </c>
      <c r="S297">
        <v>20000</v>
      </c>
      <c r="T297">
        <v>12000</v>
      </c>
      <c r="U297">
        <v>8000</v>
      </c>
      <c r="V297">
        <v>0.4</v>
      </c>
      <c r="W297" t="s">
        <v>211</v>
      </c>
    </row>
    <row r="298" spans="1:23">
      <c r="A298">
        <v>10202</v>
      </c>
      <c r="B298">
        <v>45301</v>
      </c>
      <c r="C298">
        <v>45301</v>
      </c>
      <c r="D298" t="s">
        <v>19</v>
      </c>
      <c r="E298" t="s">
        <v>19</v>
      </c>
      <c r="F298" t="s">
        <v>62</v>
      </c>
      <c r="G298" t="s">
        <v>62</v>
      </c>
      <c r="H298" t="s">
        <v>65</v>
      </c>
      <c r="I298" t="s">
        <v>124</v>
      </c>
      <c r="J298" t="s">
        <v>73</v>
      </c>
      <c r="K298">
        <v>20</v>
      </c>
      <c r="L298">
        <v>20</v>
      </c>
      <c r="M298">
        <v>650</v>
      </c>
      <c r="N298">
        <v>650</v>
      </c>
      <c r="P298">
        <v>20</v>
      </c>
      <c r="Q298">
        <v>400</v>
      </c>
      <c r="R298" t="s">
        <v>199</v>
      </c>
      <c r="S298">
        <v>13000</v>
      </c>
      <c r="T298">
        <v>8000</v>
      </c>
      <c r="U298">
        <v>5000</v>
      </c>
      <c r="V298">
        <v>0.38461538461538503</v>
      </c>
      <c r="W298" t="s">
        <v>209</v>
      </c>
    </row>
    <row r="299" spans="1:23">
      <c r="A299">
        <v>10251</v>
      </c>
      <c r="B299">
        <v>45353</v>
      </c>
      <c r="C299">
        <v>45353</v>
      </c>
      <c r="D299" t="s">
        <v>40</v>
      </c>
      <c r="E299" t="s">
        <v>40</v>
      </c>
      <c r="F299" t="s">
        <v>88</v>
      </c>
      <c r="G299" t="s">
        <v>24</v>
      </c>
      <c r="H299" t="s">
        <v>17</v>
      </c>
      <c r="I299" t="s">
        <v>18</v>
      </c>
      <c r="J299" t="s">
        <v>18</v>
      </c>
      <c r="K299">
        <v>20</v>
      </c>
      <c r="L299">
        <v>20</v>
      </c>
      <c r="M299">
        <v>650</v>
      </c>
      <c r="N299">
        <v>650</v>
      </c>
      <c r="P299">
        <v>20</v>
      </c>
      <c r="Q299">
        <v>350</v>
      </c>
      <c r="R299" t="s">
        <v>199</v>
      </c>
      <c r="S299">
        <v>13000</v>
      </c>
      <c r="T299">
        <v>7000</v>
      </c>
      <c r="U299">
        <v>6000</v>
      </c>
      <c r="V299">
        <v>0.46153846153846201</v>
      </c>
      <c r="W299" t="s">
        <v>211</v>
      </c>
    </row>
    <row r="300" spans="1:23">
      <c r="A300">
        <v>10171</v>
      </c>
      <c r="B300">
        <v>45352</v>
      </c>
      <c r="C300">
        <v>45352</v>
      </c>
      <c r="D300" t="s">
        <v>98</v>
      </c>
      <c r="E300" t="s">
        <v>74</v>
      </c>
      <c r="F300" t="s">
        <v>81</v>
      </c>
      <c r="G300" t="s">
        <v>81</v>
      </c>
      <c r="H300" t="s">
        <v>30</v>
      </c>
      <c r="I300" t="s">
        <v>31</v>
      </c>
      <c r="J300" t="s">
        <v>208</v>
      </c>
      <c r="K300">
        <v>10</v>
      </c>
      <c r="L300">
        <v>10</v>
      </c>
      <c r="M300">
        <v>1700</v>
      </c>
      <c r="N300">
        <v>1700</v>
      </c>
      <c r="P300">
        <v>10</v>
      </c>
      <c r="Q300">
        <v>1100</v>
      </c>
      <c r="R300" t="s">
        <v>202</v>
      </c>
      <c r="S300">
        <v>17000</v>
      </c>
      <c r="T300">
        <v>11000</v>
      </c>
      <c r="U300">
        <v>6000</v>
      </c>
      <c r="V300">
        <v>0.35294117647058798</v>
      </c>
      <c r="W300" t="s">
        <v>211</v>
      </c>
    </row>
    <row r="301" spans="1:23">
      <c r="A301">
        <v>10157</v>
      </c>
      <c r="B301">
        <v>45304</v>
      </c>
      <c r="C301">
        <v>45304</v>
      </c>
      <c r="D301" t="s">
        <v>19</v>
      </c>
      <c r="E301" t="s">
        <v>19</v>
      </c>
      <c r="F301" t="s">
        <v>62</v>
      </c>
      <c r="G301" t="s">
        <v>62</v>
      </c>
      <c r="H301" t="s">
        <v>77</v>
      </c>
      <c r="I301" t="s">
        <v>78</v>
      </c>
      <c r="J301" t="s">
        <v>207</v>
      </c>
      <c r="K301">
        <v>4</v>
      </c>
      <c r="L301">
        <v>4</v>
      </c>
      <c r="M301">
        <v>1950</v>
      </c>
      <c r="N301">
        <v>1950</v>
      </c>
      <c r="P301">
        <v>4</v>
      </c>
      <c r="Q301">
        <v>1200</v>
      </c>
      <c r="R301" t="s">
        <v>201</v>
      </c>
      <c r="S301">
        <v>7800</v>
      </c>
      <c r="T301">
        <v>4800</v>
      </c>
      <c r="U301">
        <v>3000</v>
      </c>
      <c r="V301">
        <v>0.38461538461538503</v>
      </c>
      <c r="W301" t="s">
        <v>209</v>
      </c>
    </row>
    <row r="302" spans="1:23">
      <c r="A302">
        <v>10272</v>
      </c>
      <c r="B302">
        <v>45334</v>
      </c>
      <c r="C302">
        <v>45334</v>
      </c>
      <c r="D302" t="s">
        <v>98</v>
      </c>
      <c r="E302" t="s">
        <v>74</v>
      </c>
      <c r="F302" t="s">
        <v>16</v>
      </c>
      <c r="G302" t="s">
        <v>16</v>
      </c>
      <c r="H302" t="s">
        <v>50</v>
      </c>
      <c r="I302" t="s">
        <v>71</v>
      </c>
      <c r="J302" t="s">
        <v>257</v>
      </c>
      <c r="K302">
        <v>1</v>
      </c>
      <c r="L302">
        <v>1</v>
      </c>
      <c r="M302">
        <v>1450</v>
      </c>
      <c r="N302">
        <v>1450</v>
      </c>
      <c r="P302">
        <v>1</v>
      </c>
      <c r="Q302">
        <v>900</v>
      </c>
      <c r="R302" t="s">
        <v>200</v>
      </c>
      <c r="S302">
        <v>1450</v>
      </c>
      <c r="T302">
        <v>900</v>
      </c>
      <c r="U302">
        <v>550</v>
      </c>
      <c r="V302">
        <v>0.37931034482758602</v>
      </c>
      <c r="W302" t="s">
        <v>210</v>
      </c>
    </row>
    <row r="303" spans="1:23">
      <c r="A303">
        <v>10127</v>
      </c>
      <c r="B303">
        <v>45352</v>
      </c>
      <c r="C303">
        <v>45352</v>
      </c>
      <c r="D303" t="s">
        <v>35</v>
      </c>
      <c r="E303" t="s">
        <v>35</v>
      </c>
      <c r="F303" t="s">
        <v>14</v>
      </c>
      <c r="G303" t="s">
        <v>14</v>
      </c>
      <c r="H303" t="s">
        <v>30</v>
      </c>
      <c r="I303" t="s">
        <v>31</v>
      </c>
      <c r="J303" t="s">
        <v>208</v>
      </c>
      <c r="K303">
        <v>1</v>
      </c>
      <c r="L303">
        <v>1</v>
      </c>
      <c r="M303">
        <v>1800</v>
      </c>
      <c r="N303">
        <v>1800</v>
      </c>
      <c r="P303">
        <v>1</v>
      </c>
      <c r="Q303">
        <v>1100</v>
      </c>
      <c r="R303" t="s">
        <v>202</v>
      </c>
      <c r="S303">
        <v>1800</v>
      </c>
      <c r="T303">
        <v>1100</v>
      </c>
      <c r="U303">
        <v>700</v>
      </c>
      <c r="V303">
        <v>0.38888888888888901</v>
      </c>
      <c r="W303" t="s">
        <v>211</v>
      </c>
    </row>
    <row r="304" spans="1:23">
      <c r="A304">
        <v>10021</v>
      </c>
      <c r="B304">
        <v>45507</v>
      </c>
      <c r="C304">
        <v>45507</v>
      </c>
      <c r="D304" t="s">
        <v>175</v>
      </c>
      <c r="E304" t="s">
        <v>74</v>
      </c>
      <c r="F304" t="s">
        <v>109</v>
      </c>
      <c r="G304" t="s">
        <v>46</v>
      </c>
      <c r="H304" t="s">
        <v>21</v>
      </c>
      <c r="I304" t="s">
        <v>22</v>
      </c>
      <c r="J304" t="s">
        <v>22</v>
      </c>
      <c r="K304">
        <v>20</v>
      </c>
      <c r="L304">
        <v>20</v>
      </c>
      <c r="M304">
        <v>2250</v>
      </c>
      <c r="N304">
        <v>2250</v>
      </c>
      <c r="P304">
        <v>20</v>
      </c>
      <c r="Q304">
        <v>1500</v>
      </c>
      <c r="R304" t="s">
        <v>199</v>
      </c>
      <c r="S304">
        <v>45000</v>
      </c>
      <c r="T304">
        <v>30000</v>
      </c>
      <c r="U304">
        <v>15000</v>
      </c>
      <c r="V304">
        <v>0.33333333333333298</v>
      </c>
      <c r="W304" t="s">
        <v>216</v>
      </c>
    </row>
    <row r="305" spans="1:23">
      <c r="A305">
        <v>10288</v>
      </c>
      <c r="B305">
        <v>45369</v>
      </c>
      <c r="C305">
        <v>45369</v>
      </c>
      <c r="D305" t="s">
        <v>41</v>
      </c>
      <c r="E305" t="s">
        <v>41</v>
      </c>
      <c r="F305" t="s">
        <v>27</v>
      </c>
      <c r="G305" t="s">
        <v>81</v>
      </c>
      <c r="H305" t="s">
        <v>53</v>
      </c>
      <c r="I305" t="s">
        <v>177</v>
      </c>
      <c r="J305" t="s">
        <v>255</v>
      </c>
      <c r="K305">
        <v>4</v>
      </c>
      <c r="L305">
        <v>4</v>
      </c>
      <c r="M305">
        <v>1000</v>
      </c>
      <c r="N305">
        <v>1000</v>
      </c>
      <c r="P305">
        <v>4</v>
      </c>
      <c r="Q305">
        <v>600</v>
      </c>
      <c r="R305" t="s">
        <v>200</v>
      </c>
      <c r="S305">
        <v>4000</v>
      </c>
      <c r="T305">
        <v>2400</v>
      </c>
      <c r="U305">
        <v>1600</v>
      </c>
      <c r="V305">
        <v>0.4</v>
      </c>
      <c r="W305" t="s">
        <v>211</v>
      </c>
    </row>
    <row r="306" spans="1:23">
      <c r="A306">
        <v>10235</v>
      </c>
      <c r="B306" t="s">
        <v>178</v>
      </c>
      <c r="C306">
        <v>45322</v>
      </c>
      <c r="D306" t="s">
        <v>58</v>
      </c>
      <c r="E306" t="s">
        <v>74</v>
      </c>
      <c r="F306" t="s">
        <v>48</v>
      </c>
      <c r="G306" t="s">
        <v>48</v>
      </c>
      <c r="H306" t="s">
        <v>33</v>
      </c>
      <c r="I306" t="s">
        <v>60</v>
      </c>
      <c r="J306" t="s">
        <v>251</v>
      </c>
      <c r="K306">
        <v>6</v>
      </c>
      <c r="L306">
        <v>6</v>
      </c>
      <c r="M306">
        <v>700</v>
      </c>
      <c r="N306">
        <v>700</v>
      </c>
      <c r="P306">
        <v>6</v>
      </c>
      <c r="Q306">
        <v>450</v>
      </c>
      <c r="R306" t="s">
        <v>202</v>
      </c>
      <c r="S306">
        <v>4200</v>
      </c>
      <c r="T306">
        <v>2700</v>
      </c>
      <c r="U306">
        <v>1500</v>
      </c>
      <c r="V306">
        <v>0.35714285714285698</v>
      </c>
      <c r="W306" t="s">
        <v>209</v>
      </c>
    </row>
    <row r="307" spans="1:23">
      <c r="A307">
        <v>10257</v>
      </c>
      <c r="B307">
        <v>45344</v>
      </c>
      <c r="C307">
        <v>45344</v>
      </c>
      <c r="D307" t="s">
        <v>74</v>
      </c>
      <c r="E307" t="s">
        <v>74</v>
      </c>
      <c r="F307" t="s">
        <v>114</v>
      </c>
      <c r="G307" t="s">
        <v>46</v>
      </c>
      <c r="H307" t="s">
        <v>90</v>
      </c>
      <c r="I307" t="s">
        <v>144</v>
      </c>
      <c r="J307" t="s">
        <v>96</v>
      </c>
      <c r="K307">
        <v>4</v>
      </c>
      <c r="L307">
        <v>4</v>
      </c>
      <c r="M307">
        <v>5200</v>
      </c>
      <c r="N307">
        <v>5200</v>
      </c>
      <c r="P307">
        <v>4</v>
      </c>
      <c r="Q307">
        <v>3500</v>
      </c>
      <c r="R307" t="s">
        <v>202</v>
      </c>
      <c r="S307">
        <v>20800</v>
      </c>
      <c r="T307">
        <v>14000</v>
      </c>
      <c r="U307">
        <v>6800</v>
      </c>
      <c r="V307">
        <v>0.32692307692307698</v>
      </c>
      <c r="W307" t="s">
        <v>210</v>
      </c>
    </row>
    <row r="308" spans="1:23">
      <c r="A308">
        <v>10102</v>
      </c>
      <c r="B308">
        <v>45295</v>
      </c>
      <c r="C308">
        <v>45295</v>
      </c>
      <c r="D308" t="s">
        <v>35</v>
      </c>
      <c r="E308" t="s">
        <v>35</v>
      </c>
      <c r="F308" t="s">
        <v>134</v>
      </c>
      <c r="G308" t="s">
        <v>16</v>
      </c>
      <c r="H308" t="s">
        <v>55</v>
      </c>
      <c r="I308" t="s">
        <v>160</v>
      </c>
      <c r="J308" t="s">
        <v>256</v>
      </c>
      <c r="K308">
        <v>20</v>
      </c>
      <c r="L308">
        <v>20</v>
      </c>
      <c r="M308">
        <v>780</v>
      </c>
      <c r="N308">
        <v>780</v>
      </c>
      <c r="P308">
        <v>20</v>
      </c>
      <c r="Q308">
        <v>480</v>
      </c>
      <c r="R308" t="s">
        <v>200</v>
      </c>
      <c r="S308">
        <v>15600</v>
      </c>
      <c r="T308">
        <v>9600</v>
      </c>
      <c r="U308">
        <v>6000</v>
      </c>
      <c r="V308">
        <v>0.38461538461538503</v>
      </c>
      <c r="W308" t="s">
        <v>209</v>
      </c>
    </row>
    <row r="309" spans="1:23">
      <c r="A309">
        <v>10096</v>
      </c>
      <c r="B309">
        <v>45328</v>
      </c>
      <c r="C309">
        <v>45328</v>
      </c>
      <c r="D309" t="s">
        <v>35</v>
      </c>
      <c r="E309" t="s">
        <v>35</v>
      </c>
      <c r="F309" t="s">
        <v>9</v>
      </c>
      <c r="G309" t="s">
        <v>9</v>
      </c>
      <c r="H309" t="s">
        <v>25</v>
      </c>
      <c r="I309" t="s">
        <v>97</v>
      </c>
      <c r="J309" t="s">
        <v>97</v>
      </c>
      <c r="K309">
        <v>2</v>
      </c>
      <c r="L309">
        <v>2</v>
      </c>
      <c r="M309">
        <v>520</v>
      </c>
      <c r="N309">
        <v>520</v>
      </c>
      <c r="P309">
        <v>2</v>
      </c>
      <c r="Q309">
        <v>250</v>
      </c>
      <c r="R309" t="s">
        <v>199</v>
      </c>
      <c r="S309">
        <v>1040</v>
      </c>
      <c r="T309">
        <v>500</v>
      </c>
      <c r="U309">
        <v>540</v>
      </c>
      <c r="V309">
        <v>0.51923076923076905</v>
      </c>
      <c r="W309" t="s">
        <v>210</v>
      </c>
    </row>
    <row r="310" spans="1:23">
      <c r="A310">
        <v>10046</v>
      </c>
      <c r="B310">
        <v>45294</v>
      </c>
      <c r="C310">
        <v>45294</v>
      </c>
      <c r="D310" t="s">
        <v>74</v>
      </c>
      <c r="E310" t="s">
        <v>74</v>
      </c>
      <c r="F310" t="s">
        <v>46</v>
      </c>
      <c r="G310" t="s">
        <v>46</v>
      </c>
      <c r="H310" t="s">
        <v>77</v>
      </c>
      <c r="I310" t="s">
        <v>78</v>
      </c>
      <c r="J310" t="s">
        <v>207</v>
      </c>
      <c r="K310">
        <v>8</v>
      </c>
      <c r="L310">
        <v>8</v>
      </c>
      <c r="M310">
        <v>1850</v>
      </c>
      <c r="N310">
        <v>1850</v>
      </c>
      <c r="P310">
        <v>8</v>
      </c>
      <c r="Q310">
        <v>1200</v>
      </c>
      <c r="R310" t="s">
        <v>201</v>
      </c>
      <c r="S310">
        <v>14800</v>
      </c>
      <c r="T310">
        <v>9600</v>
      </c>
      <c r="U310">
        <v>5200</v>
      </c>
      <c r="V310">
        <v>0.35135135135135098</v>
      </c>
      <c r="W310" t="s">
        <v>209</v>
      </c>
    </row>
    <row r="311" spans="1:23">
      <c r="A311">
        <v>10273</v>
      </c>
      <c r="B311">
        <v>45294</v>
      </c>
      <c r="C311">
        <v>45294</v>
      </c>
      <c r="D311" t="s">
        <v>41</v>
      </c>
      <c r="E311" t="s">
        <v>41</v>
      </c>
      <c r="F311" t="s">
        <v>16</v>
      </c>
      <c r="G311" t="s">
        <v>16</v>
      </c>
      <c r="H311" t="s">
        <v>111</v>
      </c>
      <c r="I311" t="s">
        <v>112</v>
      </c>
      <c r="J311" t="s">
        <v>112</v>
      </c>
      <c r="K311">
        <v>1</v>
      </c>
      <c r="L311">
        <v>1</v>
      </c>
      <c r="M311">
        <v>1000</v>
      </c>
      <c r="N311">
        <v>1000</v>
      </c>
      <c r="P311">
        <v>1</v>
      </c>
      <c r="Q311">
        <v>550</v>
      </c>
      <c r="R311" t="s">
        <v>201</v>
      </c>
      <c r="S311">
        <v>1000</v>
      </c>
      <c r="T311">
        <v>550</v>
      </c>
      <c r="U311">
        <v>450</v>
      </c>
      <c r="V311">
        <v>0.45</v>
      </c>
      <c r="W311" t="s">
        <v>209</v>
      </c>
    </row>
    <row r="312" spans="1:23">
      <c r="A312">
        <v>10306</v>
      </c>
      <c r="B312">
        <v>45385</v>
      </c>
      <c r="C312">
        <v>45385</v>
      </c>
      <c r="D312" t="s">
        <v>152</v>
      </c>
      <c r="E312" t="s">
        <v>41</v>
      </c>
      <c r="F312" t="s">
        <v>14</v>
      </c>
      <c r="G312" t="s">
        <v>14</v>
      </c>
      <c r="H312" t="s">
        <v>65</v>
      </c>
      <c r="I312" t="s">
        <v>73</v>
      </c>
      <c r="J312" t="s">
        <v>73</v>
      </c>
      <c r="K312">
        <v>6</v>
      </c>
      <c r="L312">
        <v>6</v>
      </c>
      <c r="M312">
        <v>650</v>
      </c>
      <c r="N312">
        <v>650</v>
      </c>
      <c r="P312">
        <v>6</v>
      </c>
      <c r="Q312">
        <v>400</v>
      </c>
      <c r="R312" t="s">
        <v>199</v>
      </c>
      <c r="S312">
        <v>3900</v>
      </c>
      <c r="T312">
        <v>2400</v>
      </c>
      <c r="U312">
        <v>1500</v>
      </c>
      <c r="V312">
        <v>0.38461538461538503</v>
      </c>
      <c r="W312" t="s">
        <v>212</v>
      </c>
    </row>
    <row r="313" spans="1:23">
      <c r="A313">
        <v>10249</v>
      </c>
      <c r="B313">
        <v>45384</v>
      </c>
      <c r="C313">
        <v>45384</v>
      </c>
      <c r="D313" t="s">
        <v>41</v>
      </c>
      <c r="E313" t="s">
        <v>41</v>
      </c>
      <c r="F313" t="s">
        <v>81</v>
      </c>
      <c r="G313" t="s">
        <v>81</v>
      </c>
      <c r="H313" t="s">
        <v>10</v>
      </c>
      <c r="I313" t="s">
        <v>11</v>
      </c>
      <c r="J313" t="s">
        <v>11</v>
      </c>
      <c r="K313">
        <v>8</v>
      </c>
      <c r="L313">
        <v>8</v>
      </c>
      <c r="M313">
        <v>1300</v>
      </c>
      <c r="N313">
        <v>1300</v>
      </c>
      <c r="P313">
        <v>8</v>
      </c>
      <c r="Q313">
        <v>800</v>
      </c>
      <c r="R313" t="s">
        <v>201</v>
      </c>
      <c r="S313">
        <v>10400</v>
      </c>
      <c r="T313">
        <v>6400</v>
      </c>
      <c r="U313">
        <v>4000</v>
      </c>
      <c r="V313">
        <v>0.38461538461538503</v>
      </c>
      <c r="W313" t="s">
        <v>212</v>
      </c>
    </row>
    <row r="314" spans="1:23">
      <c r="A314">
        <v>10162</v>
      </c>
      <c r="B314">
        <v>45383</v>
      </c>
      <c r="C314">
        <v>45383</v>
      </c>
      <c r="D314" t="s">
        <v>58</v>
      </c>
      <c r="E314" t="s">
        <v>74</v>
      </c>
      <c r="F314" t="s">
        <v>24</v>
      </c>
      <c r="G314" t="s">
        <v>24</v>
      </c>
      <c r="H314" t="s">
        <v>111</v>
      </c>
      <c r="I314" t="s">
        <v>112</v>
      </c>
      <c r="J314" t="s">
        <v>112</v>
      </c>
      <c r="K314">
        <v>2</v>
      </c>
      <c r="L314">
        <v>2</v>
      </c>
      <c r="M314">
        <v>1000</v>
      </c>
      <c r="N314">
        <v>1000</v>
      </c>
      <c r="P314">
        <v>2</v>
      </c>
      <c r="Q314">
        <v>550</v>
      </c>
      <c r="R314" t="s">
        <v>201</v>
      </c>
      <c r="S314">
        <v>2000</v>
      </c>
      <c r="T314">
        <v>1100</v>
      </c>
      <c r="U314">
        <v>900</v>
      </c>
      <c r="V314">
        <v>0.45</v>
      </c>
      <c r="W314" t="s">
        <v>212</v>
      </c>
    </row>
    <row r="315" spans="1:23">
      <c r="A315">
        <v>10051</v>
      </c>
      <c r="B315">
        <v>45537</v>
      </c>
      <c r="C315">
        <v>45537</v>
      </c>
      <c r="D315" t="s">
        <v>145</v>
      </c>
      <c r="E315" t="s">
        <v>19</v>
      </c>
      <c r="F315" t="s">
        <v>133</v>
      </c>
      <c r="G315" t="s">
        <v>62</v>
      </c>
      <c r="H315" t="s">
        <v>90</v>
      </c>
      <c r="I315" t="s">
        <v>91</v>
      </c>
      <c r="J315" t="s">
        <v>91</v>
      </c>
      <c r="K315">
        <v>2</v>
      </c>
      <c r="L315">
        <v>2</v>
      </c>
      <c r="M315">
        <v>5200</v>
      </c>
      <c r="N315">
        <v>5200</v>
      </c>
      <c r="P315">
        <v>2</v>
      </c>
      <c r="Q315">
        <v>3500</v>
      </c>
      <c r="R315" t="s">
        <v>202</v>
      </c>
      <c r="S315">
        <v>10400</v>
      </c>
      <c r="T315">
        <v>7000</v>
      </c>
      <c r="U315">
        <v>3400</v>
      </c>
      <c r="V315">
        <v>0.32692307692307698</v>
      </c>
      <c r="W315" t="s">
        <v>217</v>
      </c>
    </row>
    <row r="316" spans="1:23">
      <c r="A316">
        <v>10261</v>
      </c>
      <c r="B316">
        <v>45329</v>
      </c>
      <c r="C316">
        <v>45329</v>
      </c>
      <c r="D316" t="s">
        <v>40</v>
      </c>
      <c r="E316" t="s">
        <v>40</v>
      </c>
      <c r="F316" t="s">
        <v>24</v>
      </c>
      <c r="G316" t="s">
        <v>24</v>
      </c>
      <c r="H316" t="s">
        <v>21</v>
      </c>
      <c r="I316" t="s">
        <v>22</v>
      </c>
      <c r="J316" t="s">
        <v>22</v>
      </c>
      <c r="K316">
        <v>20</v>
      </c>
      <c r="L316">
        <v>20</v>
      </c>
      <c r="M316">
        <v>2300</v>
      </c>
      <c r="N316">
        <v>2300</v>
      </c>
      <c r="P316">
        <v>20</v>
      </c>
      <c r="Q316">
        <v>1500</v>
      </c>
      <c r="R316" t="s">
        <v>199</v>
      </c>
      <c r="S316">
        <v>46000</v>
      </c>
      <c r="T316">
        <v>30000</v>
      </c>
      <c r="U316">
        <v>16000</v>
      </c>
      <c r="V316">
        <v>0.34782608695652201</v>
      </c>
      <c r="W316" t="s">
        <v>210</v>
      </c>
    </row>
    <row r="317" spans="1:23">
      <c r="A317">
        <v>10195</v>
      </c>
      <c r="B317">
        <v>45326</v>
      </c>
      <c r="C317">
        <v>45326</v>
      </c>
      <c r="D317" t="s">
        <v>40</v>
      </c>
      <c r="E317" t="s">
        <v>40</v>
      </c>
      <c r="F317" t="s">
        <v>134</v>
      </c>
      <c r="G317" t="s">
        <v>16</v>
      </c>
      <c r="H317" t="s">
        <v>10</v>
      </c>
      <c r="I317" t="s">
        <v>179</v>
      </c>
      <c r="J317" t="s">
        <v>11</v>
      </c>
      <c r="K317">
        <v>1</v>
      </c>
      <c r="L317">
        <v>1</v>
      </c>
      <c r="M317">
        <v>1300</v>
      </c>
      <c r="N317">
        <v>1300</v>
      </c>
      <c r="P317">
        <v>1</v>
      </c>
      <c r="Q317">
        <v>800</v>
      </c>
      <c r="R317" t="s">
        <v>201</v>
      </c>
      <c r="S317">
        <v>1300</v>
      </c>
      <c r="T317">
        <v>800</v>
      </c>
      <c r="U317">
        <v>500</v>
      </c>
      <c r="V317">
        <v>0.38461538461538503</v>
      </c>
      <c r="W317" t="s">
        <v>210</v>
      </c>
    </row>
    <row r="318" spans="1:23">
      <c r="A318">
        <v>10119</v>
      </c>
      <c r="B318">
        <v>45355</v>
      </c>
      <c r="C318">
        <v>45355</v>
      </c>
      <c r="D318" t="s">
        <v>40</v>
      </c>
      <c r="E318" t="s">
        <v>40</v>
      </c>
      <c r="F318" t="s">
        <v>46</v>
      </c>
      <c r="G318" t="s">
        <v>46</v>
      </c>
      <c r="H318" t="s">
        <v>33</v>
      </c>
      <c r="I318" t="s">
        <v>60</v>
      </c>
      <c r="J318" t="s">
        <v>251</v>
      </c>
      <c r="K318">
        <v>5</v>
      </c>
      <c r="L318">
        <v>5</v>
      </c>
      <c r="M318">
        <v>750</v>
      </c>
      <c r="N318">
        <v>750</v>
      </c>
      <c r="P318">
        <v>5</v>
      </c>
      <c r="Q318">
        <v>450</v>
      </c>
      <c r="R318" t="s">
        <v>202</v>
      </c>
      <c r="S318">
        <v>3750</v>
      </c>
      <c r="T318">
        <v>2250</v>
      </c>
      <c r="U318">
        <v>1500</v>
      </c>
      <c r="V318">
        <v>0.4</v>
      </c>
      <c r="W318" t="s">
        <v>211</v>
      </c>
    </row>
    <row r="319" spans="1:23">
      <c r="A319">
        <v>10198</v>
      </c>
      <c r="B319" t="s">
        <v>180</v>
      </c>
      <c r="C319">
        <v>45339</v>
      </c>
      <c r="D319" t="s">
        <v>98</v>
      </c>
      <c r="E319" t="s">
        <v>74</v>
      </c>
      <c r="F319" t="s">
        <v>62</v>
      </c>
      <c r="G319" t="s">
        <v>62</v>
      </c>
      <c r="H319" t="s">
        <v>53</v>
      </c>
      <c r="I319" t="s">
        <v>54</v>
      </c>
      <c r="J319" t="s">
        <v>255</v>
      </c>
      <c r="K319">
        <v>4</v>
      </c>
      <c r="L319">
        <v>4</v>
      </c>
      <c r="M319">
        <v>1050</v>
      </c>
      <c r="N319">
        <v>1050</v>
      </c>
      <c r="P319">
        <v>4</v>
      </c>
      <c r="Q319">
        <v>600</v>
      </c>
      <c r="R319" t="s">
        <v>200</v>
      </c>
      <c r="S319">
        <v>4200</v>
      </c>
      <c r="T319">
        <v>2400</v>
      </c>
      <c r="U319">
        <v>1800</v>
      </c>
      <c r="V319">
        <v>0.42857142857142899</v>
      </c>
      <c r="W319" t="s">
        <v>210</v>
      </c>
    </row>
    <row r="320" spans="1:23">
      <c r="A320">
        <v>10150</v>
      </c>
      <c r="B320">
        <v>45353</v>
      </c>
      <c r="C320">
        <v>45353</v>
      </c>
      <c r="D320" t="s">
        <v>15</v>
      </c>
      <c r="E320" t="s">
        <v>15</v>
      </c>
      <c r="F320" t="s">
        <v>52</v>
      </c>
      <c r="G320" t="s">
        <v>14</v>
      </c>
      <c r="H320" t="s">
        <v>65</v>
      </c>
      <c r="I320" t="s">
        <v>73</v>
      </c>
      <c r="J320" t="s">
        <v>73</v>
      </c>
      <c r="K320">
        <v>4</v>
      </c>
      <c r="L320">
        <v>4</v>
      </c>
      <c r="M320">
        <v>750</v>
      </c>
      <c r="N320">
        <v>750</v>
      </c>
      <c r="P320">
        <v>4</v>
      </c>
      <c r="Q320">
        <v>400</v>
      </c>
      <c r="R320" t="s">
        <v>199</v>
      </c>
      <c r="S320">
        <v>3000</v>
      </c>
      <c r="T320">
        <v>1600</v>
      </c>
      <c r="U320">
        <v>1400</v>
      </c>
      <c r="V320">
        <v>0.46666666666666701</v>
      </c>
      <c r="W320" t="s">
        <v>211</v>
      </c>
    </row>
    <row r="321" spans="1:23">
      <c r="A321">
        <v>10056</v>
      </c>
      <c r="B321">
        <v>45333</v>
      </c>
      <c r="C321">
        <v>45333</v>
      </c>
      <c r="D321" t="s">
        <v>29</v>
      </c>
      <c r="E321" t="s">
        <v>40</v>
      </c>
      <c r="F321" t="s">
        <v>20</v>
      </c>
      <c r="G321" t="s">
        <v>16</v>
      </c>
      <c r="H321" t="s">
        <v>55</v>
      </c>
      <c r="I321" t="s">
        <v>56</v>
      </c>
      <c r="J321" t="s">
        <v>256</v>
      </c>
      <c r="K321">
        <v>3</v>
      </c>
      <c r="L321">
        <v>3</v>
      </c>
      <c r="M321">
        <v>780</v>
      </c>
      <c r="N321">
        <v>780</v>
      </c>
      <c r="P321">
        <v>3</v>
      </c>
      <c r="Q321">
        <v>480</v>
      </c>
      <c r="R321" t="s">
        <v>200</v>
      </c>
      <c r="S321">
        <v>2340</v>
      </c>
      <c r="T321">
        <v>1440</v>
      </c>
      <c r="U321">
        <v>900</v>
      </c>
      <c r="V321">
        <v>0.38461538461538503</v>
      </c>
      <c r="W321" t="s">
        <v>210</v>
      </c>
    </row>
    <row r="322" spans="1:23">
      <c r="A322">
        <v>10185</v>
      </c>
      <c r="B322" t="s">
        <v>181</v>
      </c>
      <c r="C322">
        <v>45375</v>
      </c>
      <c r="D322" t="s">
        <v>35</v>
      </c>
      <c r="E322" t="s">
        <v>35</v>
      </c>
      <c r="F322" t="s">
        <v>122</v>
      </c>
      <c r="G322" t="s">
        <v>9</v>
      </c>
      <c r="H322" t="s">
        <v>55</v>
      </c>
      <c r="I322" t="s">
        <v>56</v>
      </c>
      <c r="J322" t="s">
        <v>256</v>
      </c>
      <c r="K322">
        <v>5</v>
      </c>
      <c r="L322">
        <v>5</v>
      </c>
      <c r="M322">
        <v>730</v>
      </c>
      <c r="N322">
        <v>730</v>
      </c>
      <c r="P322">
        <v>5</v>
      </c>
      <c r="Q322">
        <v>480</v>
      </c>
      <c r="R322" t="s">
        <v>200</v>
      </c>
      <c r="S322">
        <v>3650</v>
      </c>
      <c r="T322">
        <v>2400</v>
      </c>
      <c r="U322">
        <v>1250</v>
      </c>
      <c r="V322">
        <v>0.34246575342465801</v>
      </c>
      <c r="W322" t="s">
        <v>211</v>
      </c>
    </row>
    <row r="323" spans="1:23">
      <c r="A323">
        <v>10199</v>
      </c>
      <c r="B323">
        <v>45317</v>
      </c>
      <c r="C323">
        <v>45317</v>
      </c>
      <c r="D323" t="s">
        <v>35</v>
      </c>
      <c r="E323" t="s">
        <v>35</v>
      </c>
      <c r="F323" t="s">
        <v>46</v>
      </c>
      <c r="G323" t="s">
        <v>46</v>
      </c>
      <c r="H323" t="s">
        <v>30</v>
      </c>
      <c r="I323" t="s">
        <v>140</v>
      </c>
      <c r="J323" t="s">
        <v>208</v>
      </c>
      <c r="K323">
        <v>15</v>
      </c>
      <c r="L323">
        <v>15</v>
      </c>
      <c r="M323">
        <v>1700</v>
      </c>
      <c r="N323">
        <v>1700</v>
      </c>
      <c r="P323">
        <v>15</v>
      </c>
      <c r="Q323">
        <v>1100</v>
      </c>
      <c r="R323" t="s">
        <v>202</v>
      </c>
      <c r="S323">
        <v>25500</v>
      </c>
      <c r="T323">
        <v>16500</v>
      </c>
      <c r="U323">
        <v>9000</v>
      </c>
      <c r="V323">
        <v>0.35294117647058798</v>
      </c>
      <c r="W323" t="s">
        <v>209</v>
      </c>
    </row>
    <row r="324" spans="1:23">
      <c r="A324">
        <v>10035</v>
      </c>
      <c r="B324">
        <v>45332</v>
      </c>
      <c r="C324">
        <v>45332</v>
      </c>
      <c r="D324" t="s">
        <v>100</v>
      </c>
      <c r="E324" t="s">
        <v>19</v>
      </c>
      <c r="F324" t="s">
        <v>16</v>
      </c>
      <c r="G324" t="s">
        <v>16</v>
      </c>
      <c r="H324" t="s">
        <v>53</v>
      </c>
      <c r="I324" t="s">
        <v>72</v>
      </c>
      <c r="J324" t="s">
        <v>255</v>
      </c>
      <c r="K324">
        <v>3</v>
      </c>
      <c r="L324">
        <v>3</v>
      </c>
      <c r="M324">
        <v>950</v>
      </c>
      <c r="N324">
        <v>950</v>
      </c>
      <c r="P324">
        <v>3</v>
      </c>
      <c r="Q324">
        <v>600</v>
      </c>
      <c r="R324" t="s">
        <v>200</v>
      </c>
      <c r="S324">
        <v>2850</v>
      </c>
      <c r="T324">
        <v>1800</v>
      </c>
      <c r="U324">
        <v>1050</v>
      </c>
      <c r="V324">
        <v>0.36842105263157898</v>
      </c>
      <c r="W324" t="s">
        <v>210</v>
      </c>
    </row>
    <row r="325" spans="1:23">
      <c r="A325">
        <v>10005</v>
      </c>
      <c r="B325" t="s">
        <v>166</v>
      </c>
      <c r="C325">
        <v>45318</v>
      </c>
      <c r="D325" t="s">
        <v>101</v>
      </c>
      <c r="E325" t="s">
        <v>40</v>
      </c>
      <c r="F325" t="s">
        <v>46</v>
      </c>
      <c r="G325" t="s">
        <v>46</v>
      </c>
      <c r="H325" t="s">
        <v>30</v>
      </c>
      <c r="I325" t="s">
        <v>31</v>
      </c>
      <c r="J325" t="s">
        <v>208</v>
      </c>
      <c r="K325">
        <v>20</v>
      </c>
      <c r="L325">
        <v>20</v>
      </c>
      <c r="M325">
        <v>1650</v>
      </c>
      <c r="N325">
        <v>1650</v>
      </c>
      <c r="P325">
        <v>20</v>
      </c>
      <c r="Q325">
        <v>1100</v>
      </c>
      <c r="R325" t="s">
        <v>202</v>
      </c>
      <c r="S325">
        <v>33000</v>
      </c>
      <c r="T325">
        <v>22000</v>
      </c>
      <c r="U325">
        <v>11000</v>
      </c>
      <c r="V325">
        <v>0.33333333333333298</v>
      </c>
      <c r="W325" t="s">
        <v>209</v>
      </c>
    </row>
    <row r="326" spans="1:23">
      <c r="A326">
        <v>10336</v>
      </c>
      <c r="B326">
        <v>45369</v>
      </c>
      <c r="C326">
        <v>45369</v>
      </c>
      <c r="D326" t="s">
        <v>74</v>
      </c>
      <c r="E326" t="s">
        <v>74</v>
      </c>
      <c r="F326" t="s">
        <v>105</v>
      </c>
      <c r="G326" t="s">
        <v>48</v>
      </c>
      <c r="H326" t="s">
        <v>17</v>
      </c>
      <c r="I326" t="s">
        <v>18</v>
      </c>
      <c r="J326" t="s">
        <v>18</v>
      </c>
      <c r="K326">
        <v>5</v>
      </c>
      <c r="L326">
        <v>5</v>
      </c>
      <c r="M326">
        <v>650</v>
      </c>
      <c r="N326">
        <v>650</v>
      </c>
      <c r="P326">
        <v>5</v>
      </c>
      <c r="Q326">
        <v>350</v>
      </c>
      <c r="R326" t="s">
        <v>199</v>
      </c>
      <c r="S326">
        <v>3250</v>
      </c>
      <c r="T326">
        <v>1750</v>
      </c>
      <c r="U326">
        <v>1500</v>
      </c>
      <c r="V326">
        <v>0.46153846153846201</v>
      </c>
      <c r="W326" t="s">
        <v>211</v>
      </c>
    </row>
    <row r="327" spans="1:23">
      <c r="A327">
        <v>10239</v>
      </c>
      <c r="B327">
        <v>45317</v>
      </c>
      <c r="C327">
        <v>45317</v>
      </c>
      <c r="D327" t="s">
        <v>35</v>
      </c>
      <c r="E327" t="s">
        <v>35</v>
      </c>
      <c r="F327" t="s">
        <v>48</v>
      </c>
      <c r="G327" t="s">
        <v>48</v>
      </c>
      <c r="H327" t="s">
        <v>90</v>
      </c>
      <c r="I327" t="s">
        <v>91</v>
      </c>
      <c r="J327" t="s">
        <v>91</v>
      </c>
      <c r="K327">
        <v>10</v>
      </c>
      <c r="L327">
        <v>10</v>
      </c>
      <c r="M327">
        <v>5200</v>
      </c>
      <c r="N327">
        <v>5200</v>
      </c>
      <c r="P327">
        <v>10</v>
      </c>
      <c r="Q327">
        <v>3500</v>
      </c>
      <c r="R327" t="s">
        <v>202</v>
      </c>
      <c r="S327">
        <v>52000</v>
      </c>
      <c r="T327">
        <v>35000</v>
      </c>
      <c r="U327">
        <v>17000</v>
      </c>
      <c r="V327">
        <v>0.32692307692307698</v>
      </c>
      <c r="W327" t="s">
        <v>209</v>
      </c>
    </row>
    <row r="328" spans="1:23">
      <c r="A328">
        <v>10028</v>
      </c>
      <c r="B328">
        <v>45379</v>
      </c>
      <c r="C328">
        <v>45379</v>
      </c>
      <c r="D328" t="s">
        <v>40</v>
      </c>
      <c r="E328" t="s">
        <v>40</v>
      </c>
      <c r="F328" t="s">
        <v>14</v>
      </c>
      <c r="G328" t="s">
        <v>14</v>
      </c>
      <c r="H328" t="s">
        <v>25</v>
      </c>
      <c r="I328" t="s">
        <v>75</v>
      </c>
      <c r="J328" t="s">
        <v>26</v>
      </c>
      <c r="K328">
        <v>8</v>
      </c>
      <c r="L328">
        <v>8</v>
      </c>
      <c r="M328">
        <v>370</v>
      </c>
      <c r="N328">
        <v>370</v>
      </c>
      <c r="P328">
        <v>8</v>
      </c>
      <c r="Q328">
        <v>250</v>
      </c>
      <c r="R328" t="s">
        <v>199</v>
      </c>
      <c r="S328">
        <v>2960</v>
      </c>
      <c r="T328">
        <v>2000</v>
      </c>
      <c r="U328">
        <v>960</v>
      </c>
      <c r="V328">
        <v>0.32432432432432401</v>
      </c>
      <c r="W328" t="s">
        <v>211</v>
      </c>
    </row>
    <row r="329" spans="1:23">
      <c r="A329">
        <v>10139</v>
      </c>
      <c r="B329">
        <v>45319</v>
      </c>
      <c r="C329">
        <v>45319</v>
      </c>
      <c r="D329" t="s">
        <v>106</v>
      </c>
      <c r="E329" t="s">
        <v>15</v>
      </c>
      <c r="F329" t="s">
        <v>139</v>
      </c>
      <c r="G329" t="s">
        <v>16</v>
      </c>
      <c r="H329" t="s">
        <v>111</v>
      </c>
      <c r="I329" t="s">
        <v>112</v>
      </c>
      <c r="J329" t="s">
        <v>112</v>
      </c>
      <c r="K329">
        <v>10</v>
      </c>
      <c r="L329">
        <v>10</v>
      </c>
      <c r="M329">
        <v>1000</v>
      </c>
      <c r="N329">
        <v>1000</v>
      </c>
      <c r="P329">
        <v>10</v>
      </c>
      <c r="Q329">
        <v>550</v>
      </c>
      <c r="R329" t="s">
        <v>201</v>
      </c>
      <c r="S329">
        <v>10000</v>
      </c>
      <c r="T329">
        <v>5500</v>
      </c>
      <c r="U329">
        <v>4500</v>
      </c>
      <c r="V329">
        <v>0.45</v>
      </c>
      <c r="W329" t="s">
        <v>209</v>
      </c>
    </row>
    <row r="330" spans="1:23">
      <c r="A330">
        <v>10317</v>
      </c>
      <c r="B330">
        <v>45372</v>
      </c>
      <c r="C330">
        <v>45372</v>
      </c>
      <c r="D330" t="s">
        <v>8</v>
      </c>
      <c r="E330" t="s">
        <v>15</v>
      </c>
      <c r="F330" t="s">
        <v>46</v>
      </c>
      <c r="G330" t="s">
        <v>46</v>
      </c>
      <c r="H330" t="s">
        <v>93</v>
      </c>
      <c r="I330" t="s">
        <v>94</v>
      </c>
      <c r="J330" t="s">
        <v>258</v>
      </c>
      <c r="K330">
        <v>20</v>
      </c>
      <c r="L330">
        <v>20</v>
      </c>
      <c r="M330">
        <v>1200</v>
      </c>
      <c r="N330">
        <v>1200</v>
      </c>
      <c r="P330">
        <v>20</v>
      </c>
      <c r="Q330">
        <v>700</v>
      </c>
      <c r="R330" t="s">
        <v>201</v>
      </c>
      <c r="S330">
        <v>24000</v>
      </c>
      <c r="T330">
        <v>14000</v>
      </c>
      <c r="U330">
        <v>10000</v>
      </c>
      <c r="V330">
        <v>0.41666666666666702</v>
      </c>
      <c r="W330" t="s">
        <v>211</v>
      </c>
    </row>
    <row r="331" spans="1:23">
      <c r="A331">
        <v>10103</v>
      </c>
      <c r="B331">
        <v>45302</v>
      </c>
      <c r="C331">
        <v>45302</v>
      </c>
      <c r="D331" t="s">
        <v>74</v>
      </c>
      <c r="E331" t="s">
        <v>74</v>
      </c>
      <c r="F331" t="s">
        <v>109</v>
      </c>
      <c r="G331" t="s">
        <v>46</v>
      </c>
      <c r="H331" t="s">
        <v>77</v>
      </c>
      <c r="I331" t="s">
        <v>78</v>
      </c>
      <c r="J331" t="s">
        <v>207</v>
      </c>
      <c r="K331">
        <v>3</v>
      </c>
      <c r="L331">
        <v>3</v>
      </c>
      <c r="M331">
        <v>1950</v>
      </c>
      <c r="N331">
        <v>1950</v>
      </c>
      <c r="P331">
        <v>3</v>
      </c>
      <c r="Q331">
        <v>1200</v>
      </c>
      <c r="R331" t="s">
        <v>201</v>
      </c>
      <c r="S331">
        <v>5850</v>
      </c>
      <c r="T331">
        <v>3600</v>
      </c>
      <c r="U331">
        <v>2250</v>
      </c>
      <c r="V331">
        <v>0.38461538461538503</v>
      </c>
      <c r="W331" t="s">
        <v>209</v>
      </c>
    </row>
    <row r="332" spans="1:23">
      <c r="A332">
        <v>10146</v>
      </c>
      <c r="B332">
        <v>45598</v>
      </c>
      <c r="C332">
        <v>45598</v>
      </c>
      <c r="D332" t="s">
        <v>15</v>
      </c>
      <c r="E332" t="s">
        <v>15</v>
      </c>
      <c r="F332" t="s">
        <v>46</v>
      </c>
      <c r="G332" t="s">
        <v>46</v>
      </c>
      <c r="H332" t="s">
        <v>21</v>
      </c>
      <c r="I332" t="s">
        <v>22</v>
      </c>
      <c r="J332" t="s">
        <v>22</v>
      </c>
      <c r="K332">
        <v>3</v>
      </c>
      <c r="L332">
        <v>3</v>
      </c>
      <c r="M332">
        <v>2400</v>
      </c>
      <c r="N332">
        <v>2400</v>
      </c>
      <c r="P332">
        <v>3</v>
      </c>
      <c r="Q332">
        <v>1500</v>
      </c>
      <c r="R332" t="s">
        <v>199</v>
      </c>
      <c r="S332">
        <v>7200</v>
      </c>
      <c r="T332">
        <v>4500</v>
      </c>
      <c r="U332">
        <v>2700</v>
      </c>
      <c r="V332">
        <v>0.375</v>
      </c>
      <c r="W332" t="s">
        <v>219</v>
      </c>
    </row>
    <row r="333" spans="1:23">
      <c r="A333">
        <v>10031</v>
      </c>
      <c r="B333">
        <v>45376</v>
      </c>
      <c r="C333">
        <v>45376</v>
      </c>
      <c r="D333" t="s">
        <v>101</v>
      </c>
      <c r="E333" t="s">
        <v>40</v>
      </c>
      <c r="F333" t="s">
        <v>24</v>
      </c>
      <c r="G333" t="s">
        <v>24</v>
      </c>
      <c r="H333" t="s">
        <v>50</v>
      </c>
      <c r="I333" t="s">
        <v>51</v>
      </c>
      <c r="J333" t="s">
        <v>254</v>
      </c>
      <c r="K333">
        <v>4</v>
      </c>
      <c r="L333">
        <v>4</v>
      </c>
      <c r="M333">
        <v>1450</v>
      </c>
      <c r="N333">
        <v>1450</v>
      </c>
      <c r="P333">
        <v>4</v>
      </c>
      <c r="Q333">
        <v>900</v>
      </c>
      <c r="R333" t="s">
        <v>200</v>
      </c>
      <c r="S333">
        <v>5800</v>
      </c>
      <c r="T333">
        <v>3600</v>
      </c>
      <c r="U333">
        <v>2200</v>
      </c>
      <c r="V333">
        <v>0.37931034482758602</v>
      </c>
      <c r="W333" t="s">
        <v>211</v>
      </c>
    </row>
    <row r="334" spans="1:23">
      <c r="A334">
        <v>10088</v>
      </c>
      <c r="B334">
        <v>45356</v>
      </c>
      <c r="C334">
        <v>45356</v>
      </c>
      <c r="D334" t="s">
        <v>59</v>
      </c>
      <c r="E334" t="s">
        <v>19</v>
      </c>
      <c r="F334" t="s">
        <v>24</v>
      </c>
      <c r="G334" t="s">
        <v>24</v>
      </c>
      <c r="H334" t="s">
        <v>50</v>
      </c>
      <c r="I334" t="s">
        <v>69</v>
      </c>
      <c r="J334" t="s">
        <v>257</v>
      </c>
      <c r="K334">
        <v>8</v>
      </c>
      <c r="L334">
        <v>8</v>
      </c>
      <c r="M334">
        <v>1400</v>
      </c>
      <c r="N334">
        <v>1400</v>
      </c>
      <c r="P334">
        <v>8</v>
      </c>
      <c r="Q334">
        <v>900</v>
      </c>
      <c r="R334" t="s">
        <v>200</v>
      </c>
      <c r="S334">
        <v>11200</v>
      </c>
      <c r="T334">
        <v>7200</v>
      </c>
      <c r="U334">
        <v>4000</v>
      </c>
      <c r="V334">
        <v>0.35714285714285698</v>
      </c>
      <c r="W334" t="s">
        <v>211</v>
      </c>
    </row>
    <row r="335" spans="1:23">
      <c r="A335">
        <v>10131</v>
      </c>
      <c r="B335">
        <v>45342</v>
      </c>
      <c r="C335">
        <v>45342</v>
      </c>
      <c r="D335" t="s">
        <v>35</v>
      </c>
      <c r="E335" t="s">
        <v>35</v>
      </c>
      <c r="F335" t="s">
        <v>68</v>
      </c>
      <c r="G335" t="s">
        <v>9</v>
      </c>
      <c r="H335" t="s">
        <v>93</v>
      </c>
      <c r="I335" t="s">
        <v>94</v>
      </c>
      <c r="J335" t="s">
        <v>258</v>
      </c>
      <c r="K335">
        <v>1</v>
      </c>
      <c r="L335">
        <v>1</v>
      </c>
      <c r="M335">
        <v>1100</v>
      </c>
      <c r="N335">
        <v>1100</v>
      </c>
      <c r="P335">
        <v>1</v>
      </c>
      <c r="Q335">
        <v>700</v>
      </c>
      <c r="R335" t="s">
        <v>201</v>
      </c>
      <c r="S335">
        <v>1100</v>
      </c>
      <c r="T335">
        <v>700</v>
      </c>
      <c r="U335">
        <v>400</v>
      </c>
      <c r="V335">
        <v>0.36363636363636398</v>
      </c>
      <c r="W335" t="s">
        <v>210</v>
      </c>
    </row>
    <row r="336" spans="1:23">
      <c r="A336">
        <v>10023</v>
      </c>
      <c r="B336">
        <v>45566</v>
      </c>
      <c r="C336">
        <v>45566</v>
      </c>
      <c r="D336" t="s">
        <v>40</v>
      </c>
      <c r="E336" t="s">
        <v>40</v>
      </c>
      <c r="F336" t="s">
        <v>36</v>
      </c>
      <c r="G336" t="s">
        <v>9</v>
      </c>
      <c r="H336" t="s">
        <v>111</v>
      </c>
      <c r="I336" t="s">
        <v>112</v>
      </c>
      <c r="J336" t="s">
        <v>112</v>
      </c>
      <c r="K336">
        <v>1</v>
      </c>
      <c r="L336">
        <v>1</v>
      </c>
      <c r="M336">
        <v>900</v>
      </c>
      <c r="N336">
        <v>900</v>
      </c>
      <c r="P336">
        <v>1</v>
      </c>
      <c r="Q336">
        <v>550</v>
      </c>
      <c r="R336" t="s">
        <v>201</v>
      </c>
      <c r="S336">
        <v>900</v>
      </c>
      <c r="T336">
        <v>550</v>
      </c>
      <c r="U336">
        <v>350</v>
      </c>
      <c r="V336">
        <v>0.38888888888888901</v>
      </c>
      <c r="W336" t="s">
        <v>218</v>
      </c>
    </row>
    <row r="337" spans="1:23">
      <c r="A337">
        <v>10270</v>
      </c>
      <c r="B337">
        <v>45295</v>
      </c>
      <c r="C337">
        <v>45295</v>
      </c>
      <c r="D337" t="s">
        <v>19</v>
      </c>
      <c r="E337" t="s">
        <v>19</v>
      </c>
      <c r="F337" t="s">
        <v>88</v>
      </c>
      <c r="G337" t="s">
        <v>24</v>
      </c>
      <c r="H337" t="s">
        <v>111</v>
      </c>
      <c r="I337" t="s">
        <v>112</v>
      </c>
      <c r="J337" t="s">
        <v>112</v>
      </c>
      <c r="K337">
        <v>12</v>
      </c>
      <c r="L337">
        <v>12</v>
      </c>
      <c r="M337">
        <v>950</v>
      </c>
      <c r="N337">
        <v>950</v>
      </c>
      <c r="P337">
        <v>12</v>
      </c>
      <c r="Q337">
        <v>550</v>
      </c>
      <c r="R337" t="s">
        <v>201</v>
      </c>
      <c r="S337">
        <v>11400</v>
      </c>
      <c r="T337">
        <v>6600</v>
      </c>
      <c r="U337">
        <v>4800</v>
      </c>
      <c r="V337">
        <v>0.42105263157894701</v>
      </c>
      <c r="W337" t="s">
        <v>209</v>
      </c>
    </row>
    <row r="338" spans="1:23">
      <c r="A338">
        <v>10340</v>
      </c>
      <c r="B338">
        <v>45348</v>
      </c>
      <c r="C338">
        <v>45348</v>
      </c>
      <c r="D338" t="s">
        <v>74</v>
      </c>
      <c r="E338" t="s">
        <v>74</v>
      </c>
      <c r="F338" t="s">
        <v>14</v>
      </c>
      <c r="G338" t="s">
        <v>14</v>
      </c>
      <c r="H338" t="s">
        <v>77</v>
      </c>
      <c r="I338" t="s">
        <v>78</v>
      </c>
      <c r="J338" t="s">
        <v>207</v>
      </c>
      <c r="K338">
        <v>20</v>
      </c>
      <c r="L338">
        <v>20</v>
      </c>
      <c r="M338">
        <v>1850</v>
      </c>
      <c r="N338">
        <v>1850</v>
      </c>
      <c r="P338">
        <v>20</v>
      </c>
      <c r="Q338">
        <v>1200</v>
      </c>
      <c r="R338" t="s">
        <v>201</v>
      </c>
      <c r="S338">
        <v>37000</v>
      </c>
      <c r="T338">
        <v>24000</v>
      </c>
      <c r="U338">
        <v>13000</v>
      </c>
      <c r="V338">
        <v>0.35135135135135098</v>
      </c>
      <c r="W338" t="s">
        <v>210</v>
      </c>
    </row>
    <row r="339" spans="1:23">
      <c r="A339">
        <v>10299</v>
      </c>
      <c r="B339" t="s">
        <v>182</v>
      </c>
      <c r="C339">
        <v>45314</v>
      </c>
      <c r="D339" t="s">
        <v>41</v>
      </c>
      <c r="E339" t="s">
        <v>41</v>
      </c>
      <c r="F339" t="s">
        <v>16</v>
      </c>
      <c r="G339" t="s">
        <v>16</v>
      </c>
      <c r="H339" t="s">
        <v>111</v>
      </c>
      <c r="I339" t="s">
        <v>112</v>
      </c>
      <c r="J339" t="s">
        <v>112</v>
      </c>
      <c r="K339">
        <v>2</v>
      </c>
      <c r="L339">
        <v>2</v>
      </c>
      <c r="M339">
        <v>1000</v>
      </c>
      <c r="N339">
        <v>1000</v>
      </c>
      <c r="P339">
        <v>2</v>
      </c>
      <c r="Q339">
        <v>550</v>
      </c>
      <c r="R339" t="s">
        <v>201</v>
      </c>
      <c r="S339">
        <v>2000</v>
      </c>
      <c r="T339">
        <v>1100</v>
      </c>
      <c r="U339">
        <v>900</v>
      </c>
      <c r="V339">
        <v>0.45</v>
      </c>
      <c r="W339" t="s">
        <v>209</v>
      </c>
    </row>
    <row r="340" spans="1:23">
      <c r="A340">
        <v>10193</v>
      </c>
      <c r="B340">
        <v>45360</v>
      </c>
      <c r="C340">
        <v>45360</v>
      </c>
      <c r="D340" t="s">
        <v>23</v>
      </c>
      <c r="E340" t="s">
        <v>35</v>
      </c>
      <c r="F340" t="s">
        <v>48</v>
      </c>
      <c r="G340" t="s">
        <v>48</v>
      </c>
      <c r="H340" t="s">
        <v>90</v>
      </c>
      <c r="I340" t="s">
        <v>144</v>
      </c>
      <c r="J340" t="s">
        <v>96</v>
      </c>
      <c r="K340">
        <v>20</v>
      </c>
      <c r="L340">
        <v>20</v>
      </c>
      <c r="M340">
        <v>5150</v>
      </c>
      <c r="N340">
        <v>5150</v>
      </c>
      <c r="P340">
        <v>20</v>
      </c>
      <c r="Q340">
        <v>3500</v>
      </c>
      <c r="R340" t="s">
        <v>202</v>
      </c>
      <c r="S340">
        <v>103000</v>
      </c>
      <c r="T340">
        <v>70000</v>
      </c>
      <c r="U340">
        <v>33000</v>
      </c>
      <c r="V340">
        <v>0.32038834951456302</v>
      </c>
      <c r="W340" t="s">
        <v>211</v>
      </c>
    </row>
    <row r="341" spans="1:23">
      <c r="A341">
        <v>10010</v>
      </c>
      <c r="B341">
        <v>45372</v>
      </c>
      <c r="C341">
        <v>45372</v>
      </c>
      <c r="D341" t="s">
        <v>92</v>
      </c>
      <c r="E341" t="s">
        <v>35</v>
      </c>
      <c r="F341" t="s">
        <v>42</v>
      </c>
      <c r="G341" t="s">
        <v>14</v>
      </c>
      <c r="H341" t="s">
        <v>53</v>
      </c>
      <c r="I341" t="s">
        <v>72</v>
      </c>
      <c r="J341" t="s">
        <v>255</v>
      </c>
      <c r="K341">
        <v>6</v>
      </c>
      <c r="L341">
        <v>6</v>
      </c>
      <c r="M341">
        <v>950</v>
      </c>
      <c r="N341">
        <v>950</v>
      </c>
      <c r="P341">
        <v>6</v>
      </c>
      <c r="Q341">
        <v>600</v>
      </c>
      <c r="R341" t="s">
        <v>200</v>
      </c>
      <c r="S341">
        <v>5700</v>
      </c>
      <c r="T341">
        <v>3600</v>
      </c>
      <c r="U341">
        <v>2100</v>
      </c>
      <c r="V341">
        <v>0.36842105263157898</v>
      </c>
      <c r="W341" t="s">
        <v>211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1C2A0-CAE6-47C6-A104-73DB6C91B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2026-07-24T01:49:11Z</dcterms:created>
  <dcterms:modified xsi:type="dcterms:W3CDTF">2026-07-24T07:01:36Z</dcterms:modified>
  <cp:category/>
  <cp:contentStatus/>
</cp:coreProperties>
</file>